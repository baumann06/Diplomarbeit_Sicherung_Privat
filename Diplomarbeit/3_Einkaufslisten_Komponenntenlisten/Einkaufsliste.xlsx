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HTL\HTL 5\Diplomarbeit\"/>
    </mc:Choice>
  </mc:AlternateContent>
  <xr:revisionPtr revIDLastSave="0" documentId="13_ncr:1_{92A8D738-8987-4B09-92C6-E278A7028822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D31" i="1" l="1"/>
</calcChain>
</file>

<file path=xl/sharedStrings.xml><?xml version="1.0" encoding="utf-8"?>
<sst xmlns="http://schemas.openxmlformats.org/spreadsheetml/2006/main" count="57" uniqueCount="55">
  <si>
    <t>Hauptkomponenten</t>
  </si>
  <si>
    <t>Verwendung</t>
  </si>
  <si>
    <t>enjoysolar 150W Solar Panel</t>
  </si>
  <si>
    <t>Hauptenergiequelle, 18V/8.34A</t>
  </si>
  <si>
    <t>NuaSol Panel Halterung</t>
  </si>
  <si>
    <t>Montage Solar-Panel, 15-30° einstellbar</t>
  </si>
  <si>
    <t>KEPWORTH 12V 100Ah LiFePO4 Akku</t>
  </si>
  <si>
    <t>Energiespeicher 1280Wh</t>
  </si>
  <si>
    <t>Victron MultiPlus 12/800</t>
  </si>
  <si>
    <t>Ladecontroller + Wechselrichter (230V) + PV/Netz-Umschaltung</t>
  </si>
  <si>
    <t>Victron Orion 12/12-16</t>
  </si>
  <si>
    <t>Blade Sicherung 30A</t>
  </si>
  <si>
    <t>Haupt-Absicherung Akku (1x + Reserve)</t>
  </si>
  <si>
    <t>Inline Blade Sicherungshalter</t>
  </si>
  <si>
    <t>Halter für 30A Blade-Sicherung</t>
  </si>
  <si>
    <t>Verkabelung</t>
  </si>
  <si>
    <t>Kabel 6mm² Rot und Schwarz</t>
  </si>
  <si>
    <t>Kabel 1.5mm² dreiadrig</t>
  </si>
  <si>
    <t>2m</t>
  </si>
  <si>
    <t>Ring-Kabelschuhe 6mm² M8</t>
  </si>
  <si>
    <t>Akku- und Victron-Anschlüsse (~6 Stück)</t>
  </si>
  <si>
    <t>Aderendhülsen 1.5mm²</t>
  </si>
  <si>
    <t>Schrumpfschlauch Set</t>
  </si>
  <si>
    <t>Isolation aller Verbindungen</t>
  </si>
  <si>
    <t>1 Set</t>
  </si>
  <si>
    <t>Kabelbinder</t>
  </si>
  <si>
    <t>ESP32 DevKit C V4</t>
  </si>
  <si>
    <t>Dupont Jumper Kabel Set</t>
  </si>
  <si>
    <t>2 Paar</t>
  </si>
  <si>
    <t>Energieversorgung</t>
  </si>
  <si>
    <t xml:space="preserve">Name </t>
  </si>
  <si>
    <t>benötigte Menge</t>
  </si>
  <si>
    <t>Preis</t>
  </si>
  <si>
    <t>Sicherungen</t>
  </si>
  <si>
    <t>Alle 230V und Steuer-Leitungen</t>
  </si>
  <si>
    <t>Energie-Management-System</t>
  </si>
  <si>
    <t>Zentrale Steuerung, Lastmanagement, IoT</t>
  </si>
  <si>
    <t>Verbindungen ESP32↔Sensoren/Display (M-M, M-F, F-F)</t>
  </si>
  <si>
    <t>Stäubli MC4 Original 6 Paar</t>
  </si>
  <si>
    <t>DC/DC Wandler 12V -&gt; 5V</t>
  </si>
  <si>
    <t>Hochstrom 12V+ (Akku↔Victron)</t>
  </si>
  <si>
    <t>230V Verkabelung Netzzugang für MultiPlus</t>
  </si>
  <si>
    <t>Solar-Panel Steckverbindungen</t>
  </si>
  <si>
    <t>Sparkleiot Development Board 2.8 Inch TFT Touch Display</t>
  </si>
  <si>
    <t>Touch-Bedienung und Status-Anzeige (Spannung, Lasten)</t>
  </si>
  <si>
    <t>SOLARTRONICS Extension Cable 6 mm²</t>
  </si>
  <si>
    <t>6mm² mit MC4-Enden</t>
  </si>
  <si>
    <t>4m</t>
  </si>
  <si>
    <t>Victron SmartShunt 500A</t>
  </si>
  <si>
    <t>Präzisions-Stromsensor für genaue SoC-Berechnung und Monitoring (max. 500A)</t>
  </si>
  <si>
    <t>Victron RJ45 UTP Kabel</t>
  </si>
  <si>
    <t>Shunt ↔ MultiPlus</t>
  </si>
  <si>
    <t>1m</t>
  </si>
  <si>
    <t>Gehäuse</t>
  </si>
  <si>
    <t>BOXEXPERT St. Pauli Serie - 600×800×300mm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</si>
</sst>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€&quot;\ * #,##0.00_-;\-&quot;€&quot;\ * #,##0.00_-;_-&quot;€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32323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3" fillId="0" borderId="1" xfId="0" applyFont="1" applyBorder="1"/>
    <xf numFmtId="0" fontId="2" fillId="0" borderId="0" xfId="2"/>
    <xf numFmtId="44" fontId="0" fillId="0" borderId="0" xfId="1" applyFont="1"/>
    <xf numFmtId="0" fontId="2" fillId="0" borderId="0" xfId="2" applyFill="1"/>
    <xf numFmtId="44" fontId="0" fillId="2" borderId="0" xfId="1" applyFont="1" applyFill="1"/>
    <xf numFmtId="0" fontId="3" fillId="0" borderId="0" xfId="0" applyFont="1"/>
    <xf numFmtId="0" fontId="2" fillId="0" borderId="0" xfId="2" applyAlignment="1"/>
    <xf numFmtId="0" fontId="4" fillId="0" borderId="0" xfId="2" applyFont="1"/>
    <xf numFmtId="0" fontId="4" fillId="0" borderId="0" xfId="0" applyFont="1"/>
    <xf numFmtId="0" fontId="5" fillId="0" borderId="0" xfId="0" applyFont="1" applyAlignment="1">
      <alignment vertical="center"/>
    </xf>
  </cellXfs>
  <cellStyles count="3">
    <cellStyle name="Link" xfId="2" builtinId="8"/>
    <cellStyle name="Standard" xfId="0" builtinId="0"/>
    <cellStyle name="Währung" xfId="1" builtinId="4"/>
  </cellStyles>
  <dxfs count="0"/>
  <tableStyles count="1" defaultTableStyle="TableStyleMedium2" defaultPivotStyle="PivotStyleLight16">
    <tableStyle name="Invisible" pivot="0" table="0" count="0" xr9:uid="{1DFF223B-EF1C-496E-83F3-C1331C75910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de/Eventronic-ET1001-Heat-Shrink-Tubing/dp/B071D7LJ31/ref=sr_1_2_sspa?crid=1MW5DZ7Z00F40&amp;dib=eyJ2IjoiMSJ9.TKdy6jVQcmHdyFdkNndokolJEK6VWNO3uLYL2KgVc6VPsIteCKv-E1TnvDCPAVMtIve-3SnqA9k04Gc_P_q0w2htmrQeBdFBrwYXT0L8QU-1GoXTnVQFYdVzxAFSopiKedOvA74jc_dKnsyvjJ0U-QCXBxQHXOBNFpJ4y2vlNZKS40hSVmMg-mM23ZvAZN-S1rMEPLAGnGDWiaNPr2rnAjytvaWjtkzv13uE04scIdwd1EJL8ntbUYBWOh_v8E8Ikw9NA95ZYYf5vMz4429r_m4RcNrkg74Nf7DNM_9QSXE.sIMJ4PlA8gKRnGP5EjbjzaU3114aQpKyCDfmgQ1R7xI&amp;dib_tag=se&amp;keywords=Schrumpfschlauch%2BSet&amp;qid=1759600838&amp;sprefix=schrumpfschlauch%2Bset%2Caps%2C158&amp;sr=8-2-spons&amp;sp_csd=d2lkZ2V0TmFtZT1zcF9hdGY&amp;th=1" TargetMode="External"/><Relationship Id="rId13" Type="http://schemas.openxmlformats.org/officeDocument/2006/relationships/hyperlink" Target="https://www.amazon.de/-/en/SOLARTRONICS-Extension-Cable-Solar-Plug-Red-black/dp/B0CKW9P2C2/ref=sr_1_14?crid=13GAQ1N0I0BGO&amp;dib=eyJ2IjoiMSJ9.MfWF2kOPgFkELg91W2VjzAMAXo50Oq_Gd0gjilfS12CCnBBlP5wAGXdteHvkUCfssrap2l_rE2onO0rzFqn-an62xCkt_LMnliUMvvEEV9cY89MrG0JL7dSqS7ylsdsZl9jvyTy1xoEzZ-EueKMp-cwxs1cn9067bzEg1PtJ7nZdCdiM39_DxG6YeiAt9HhGCmYZGLSZgHZFdN_V0YI5bl4OSiE9B49Qr4yTCfMT2JU6U7C8RFh31abwz4QW379WuEOJfOWSTQivMN2PsAZSTi-_5zRAjDHZeoyI8KiJOiE.n2AAxcVPh0YGh24ygLe12bHgEzx67qUf0r6hIb7wq78&amp;dib_tag=se&amp;keywords=6mm%C2%B2+mit+MC4-Enden&amp;qid=1761075892&amp;sprefix=6mm+mit+mc4-enden%2Caps%2C213&amp;sr=8-14" TargetMode="External"/><Relationship Id="rId3" Type="http://schemas.openxmlformats.org/officeDocument/2006/relationships/hyperlink" Target="amazon.de/-/en/gp/product/B0CBMTNQT5/ref=ox_sc_act_title_6?smid=A2XOSVM3PBYA5S&amp;psc=1" TargetMode="External"/><Relationship Id="rId7" Type="http://schemas.openxmlformats.org/officeDocument/2006/relationships/hyperlink" Target="https://www.amazon.de/Wire-Ferrules-Insulated-Partially-Black/dp/B0CXH1RWQW/ref=sr_1_1_sspa?crid=1GDUVEES7PWIS&amp;dib=eyJ2IjoiMSJ9.ANZDxIVXDF6rXSuNXMg2Sv20l0-fdtkgii-RfqieXKxI2-hG2q8sI5JTQBnHrTb5dVq6oJgqSpxk1BP37G6MqDV-EayATeuuNh7QXMX4SLnB4UMXes4Ys3GZNqoyShekZsUtsSVmFXvp0uyhSOocKi_pyiPYhGZq2E6TzPzciqi4KNisVV-8hyAaLQku-PZvlJIdEC-rNv04g9m9V4E-ccYFzwQGaZsDAeJ2UlGlK2_i_HuP3JXAj0cDb3j1oMMmKjo-S--Kd2t9Z0iiIISBhv_jWTsZsLzymIU39OZ_w8Y.-8wDn9WEyUsKjU-gsrpT6tOUa3ccuIt961rKnzMCZWk&amp;dib_tag=se&amp;keywords=Aderendh%C3%BClsen%2B1%2C5mm2&amp;qid=1759600746&amp;sprefix=aderendh%C3%BClsen%2B1%2B5mm2%2Caps%2C158&amp;sr=8-1-spons&amp;sp_csd=d2lkZ2V0TmFtZT1zcF9hdGY&amp;th=1" TargetMode="External"/><Relationship Id="rId12" Type="http://schemas.openxmlformats.org/officeDocument/2006/relationships/hyperlink" Target="https://www.amazon.de/-/en/gp/product/B0DJ35DDQF/ref=ox_sc_act_title_5?smid=A32D99AU4SRD9G&amp;psc=1" TargetMode="External"/><Relationship Id="rId2" Type="http://schemas.openxmlformats.org/officeDocument/2006/relationships/hyperlink" Target="https://www.amazon.de/-/en/gp/product/B08LGL2NHR/ref=ox_sc_act_title_7?smid=A27HW34Y4BM3JK&amp;th=1" TargetMode="External"/><Relationship Id="rId1" Type="http://schemas.openxmlformats.org/officeDocument/2006/relationships/hyperlink" Target="https://www.amazon.de/-/en/gp/product/B08PFQM84M/ref=sw_img_1?smid=A1JXRLD5PXO0OA&amp;th=1" TargetMode="External"/><Relationship Id="rId6" Type="http://schemas.openxmlformats.org/officeDocument/2006/relationships/hyperlink" Target="https://www.amazon.de/-/en/NYM-J-Sheathed-Cable-Installation-Copper/dp/B0FJRGHCD4/ref=sr_1_1?crid=39Z2GBDKRRQ5D&amp;dib=eyJ2IjoiMSJ9.GHo55ubRxQujMytysPEOorl6CiHOsXAlPHytLCxjNmbhVw8h-dwqq7Om_Z_juwj34zlVkyAVd8jDGQEXxDZWMhdbC2wb5F5ft_-UZgdxcnxaTHp058xiscd77pbFy1TVYg7ntNWQyfuvJEUA0dspOGqP7XGPIuHl8I3MBJIQy6wHKqk4Fsw4ZcdG5jCT6nFa5Aw_BLrjEIWbrw6FhtqIY1r3i_ZMX_ry-SlltUOZWwtomge-N4ZKkI_qvt8STMmcJa7apRdE7geMu7RbfJ6QwR3LnFaF44tcHaXK4IFrXg4.AowazoiN-HQn2AVCaAzG4KdFCcu6KbotWQlcGgISasc&amp;dib_tag=se&amp;keywords=230V%2BVerkabelung%2BKabel%2B1%2C5mm2%2Bdreiadrig&amp;qid=1759600435&amp;sprefix=230v%2Bverkabelung%2Bkabel%2B1%2B5mm2%2Bdreiadrig%2Caps%2C146&amp;sr=8-1&amp;th=1" TargetMode="External"/><Relationship Id="rId11" Type="http://schemas.openxmlformats.org/officeDocument/2006/relationships/hyperlink" Target="https://www.amazon.de/-/en/QWORK%C2%AE-10AWG-Silicone-Electronic-Cable/dp/B0F66FV737/ref=sr_1_7?crid=2RAWXIW98L0PN&amp;dib=eyJ2IjoiMSJ9.uJD4DvSYk7hkqHTYoydrEQXGMS2PHkUNn1hm0Nvx8ZxVx39QIPngm_Zp3qfL23z6wuWQKnx9to3N-_zEI94Mi-HLTwwvA04MeowLJN4BvaDa4mKGzcqurhJw6daSTh3svnJvck1bQ5mN8T3DWm1n3QCsauvw9uSjDHUaq7jCJKRvRZhooJfMVx_ptEhEGnXPZycU2PqUQ4ssdWHu5TnuVv8ksXWHZCBf_RsPF6MORIYCNiVoEShLrp93SdvMjrvbwVsxCeaOuMgrEy0VZ6seLOuZ-QLSJFjgpIdZyMNJFEk.Zl9F5UPX7qfhEnluWKyCVYIJOFZuRUfTuMyHJshrrh0&amp;dib_tag=se&amp;keywords=Hochstrom%2B6mm2%2Brot%2Bschwarz%2B5m&amp;qid=1759953857&amp;sprefix=hochstrom%2B6mm2%2Brot%2Bschwarz%2B5m%2Caps%2C133&amp;sr=8-7&amp;th=1" TargetMode="External"/><Relationship Id="rId5" Type="http://schemas.openxmlformats.org/officeDocument/2006/relationships/hyperlink" Target="https://www.amazon.de/Holder-Standard-Dragon-Universal-Quantity-red/dp/B08JLPZYFQ/ref=sr_1_2_sspa?crid=10T63ZXUHHBUP&amp;dib=eyJ2IjoiMSJ9.egkJTfcEBziNpe8KpO__IkDVkZPlVwWPK8QB7Qv4fNXl2SzbthGHlmA5f2a98lv20aSieF8-WUmY6M-uARMB7FPyt4Urh8FewyNX7e149CQZ1grmYwooaKmt2dfVC4QxBh8on8QtxY4kTAP8zLClxcMAkP2GQrXrA_ySwWsNOYKmfv2qR1LByH6LAQQloZE9Sq1IxBItRxhKCpzowpzVyP5Le1uWm4UtC5lPT7jvM-Qk3FI3SLpLLhn4GTJPjpMpjWQL80JvZTH3KwQo1-xcxQXm7RBE2omOHz0UEKnjVa4.c-gnKLwWvVDwiHLbynbwe7NOwSY7SJ3bZ29AihdT4Dw&amp;dib_tag=se&amp;keywords=Blade+Sicherung+30A&amp;qid=1759600001&amp;s=industrial&amp;sprefix=blade+sicherung+30a%2Cindustrial%2C255&amp;sr=1-2-spons&amp;sp_csd=d2lkZ2V0TmFtZT1zcF9hdGY&amp;psc=1" TargetMode="External"/><Relationship Id="rId10" Type="http://schemas.openxmlformats.org/officeDocument/2006/relationships/hyperlink" Target="https://www.amazon.de/-/en/GTIWUNG-Breadboard-Bridges-Arduino-Raspberry/dp/B0CFXZDBVY/ref=sr_1_25?crid=3O8TM0GZUA49L&amp;dib=eyJ2IjoiMSJ9.jqd9M30T7zSp3Nl58ZvfNLXXtnMw2I7t3OMb_KGtstXJolTwu2ZxYiPc0dVTddZifLi2KboZvqU9VkkEmxDFNMiGJ1cBZvWJXCqdwdmFA5AxO5M8TFHcFkKIcDlfgr4YGb-5vzFnI83S49rvi70CXCFBIC-5xZk2aUV-zxFxyApYQhhjUlvhNqRybQ0pt_MpwQNeJVoHxQpMcE4fTF9GsyzEKqwgDPBmJdzUK3pdp0LlqO-yGQZZ3NbOOK_XEUEJuiHLmtAOTn_66FmQWRVELloHct6EsBvU6RAGYwVL73g.2gq_Nr4YofXPqNFvoVkLhNEh4cNupUjbjg1LP4KUGqM&amp;dib_tag=se&amp;keywords=Jumper+Kabel+verschiedene+L%C3%A4ngen&amp;qid=1759601072&amp;sprefix=jumper+kabel+verschiedene+l%C3%A4ngen+%2Caps%2C166&amp;sr=8-25" TargetMode="External"/><Relationship Id="rId4" Type="http://schemas.openxmlformats.org/officeDocument/2006/relationships/hyperlink" Target="https://www.amazon.de/-/en/gp/product/B0FFTBKK17/ref=ox_sc_act_title_9?smid=A3P0VNCIO079PA&amp;th=1" TargetMode="External"/><Relationship Id="rId9" Type="http://schemas.openxmlformats.org/officeDocument/2006/relationships/hyperlink" Target="https://www.amazon.de/Amazon-Basics-Black-Adjustable-Organizer/dp/B0BFWJZ4KW/ref=sr_1_3_ffob_sspa?crid=22CV9XNIA6D6Y&amp;dib=eyJ2IjoiMSJ9.i83lccy1qiHuhp0EdJ1cGNus5Mcw0VCXECVVqQFLt8hA9qM6OylH7Pzk2IV05WDfa5zRT3nz36mR0zhk4Y3xA34ZI0A_qyZXpkKvUJfFualMkYWqus0-RcYx0fg6LeAdfX18Ayro5EYY0NyNunbjsWYFXRKWQ02ykloz1x8HBmARBrE-ln2j4UO2OYCgMwHD_B5BJBop844zFhnVY630Q0ojRITMYUUSAo3ksspGf9KjVn8VSk7eDf-HuDSWfaCXT0xKFlX1Pq--1dRKQuU-mX7xn-6yws_ccTIjdGVS1Bw.U0jLU6OcGGn77rr_pJb97XSQhL4SLyZdE_nqI8CEJ-U&amp;dib_tag=se&amp;keywords=Kabelbinder&amp;qid=1759600909&amp;sprefix=kabelbinde%2Caps%2C155&amp;sr=8-3-spons&amp;sp_csd=d2lkZ2V0TmFtZT1zcF9hdGY&amp;psc=1" TargetMode="External"/><Relationship Id="rId14" Type="http://schemas.openxmlformats.org/officeDocument/2006/relationships/hyperlink" Target="https://www.amazon.de/Kalitec-Connector-According-Germany-silver/dp/B0C66DPSM4/ref=sr_1_3_sspa?crid=13UWJ5VJACD3J&amp;dib=eyJ2IjoiMSJ9.3_gjoNRNKaUGMUYQ8KYEYlGDbPCjvOer7schc2v2sz5Mf29wkED0DlJ0AjbKnityw3Jh5jRKRqKJlF37xe0xipxcZpQuM6e2I78vF94zgLDfZc0vy8xulZDFEGZN2nfK-fw1kwiL3_S0zSmROGSvipBRTuPIEtVl8FjQ1kCl4qjOfpRlna4RMQvqwqf40cuCgpLHxZ7B-t6KuQOwax_mRYYGwiEm3iHbNhTLXj2JGnnfCk24WFCKNkTniMskn4jNvn5oazCR-t6s1hotTAffSbIAip1MM8Eu6qcQe9NJCgs.peuHZempMhUFbgGCGBtg9xYskT_sIlLMHRKkdpNBMHc&amp;dib_tag=se&amp;keywords=Ring-Kabelschuhe+6mm2+M8&amp;qid=1759600590&amp;sprefix=ring-kabelschuhe+6mm2+m8%2Caps%2C143&amp;sr=8-3-spons&amp;sp_csd=d2lkZ2V0TmFtZT1zcF9hdGY&amp;psc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topLeftCell="A10" zoomScale="129" workbookViewId="0">
      <selection activeCell="C31" sqref="C31"/>
    </sheetView>
  </sheetViews>
  <sheetFormatPr baseColWidth="10" defaultColWidth="8.7265625" defaultRowHeight="14.5" x14ac:dyDescent="0.35"/>
  <cols>
    <col min="1" max="1" width="32.36328125" bestFit="1" customWidth="1"/>
    <col min="2" max="2" width="51.6328125" bestFit="1" customWidth="1"/>
    <col min="3" max="3" width="16.36328125" bestFit="1" customWidth="1"/>
    <col min="4" max="4" width="9" bestFit="1" customWidth="1"/>
  </cols>
  <sheetData>
    <row r="1" spans="1:5" ht="15.5" x14ac:dyDescent="0.35">
      <c r="A1" s="1" t="s">
        <v>29</v>
      </c>
      <c r="B1" s="1"/>
      <c r="C1" s="1"/>
      <c r="D1" s="1"/>
    </row>
    <row r="2" spans="1:5" ht="15.5" x14ac:dyDescent="0.35">
      <c r="A2" t="s">
        <v>30</v>
      </c>
      <c r="B2" s="1" t="s">
        <v>1</v>
      </c>
      <c r="C2" s="1" t="s">
        <v>31</v>
      </c>
      <c r="D2" s="1" t="s">
        <v>32</v>
      </c>
      <c r="E2" s="6"/>
    </row>
    <row r="3" spans="1:5" x14ac:dyDescent="0.35">
      <c r="A3" t="s">
        <v>0</v>
      </c>
    </row>
    <row r="4" spans="1:5" x14ac:dyDescent="0.35">
      <c r="A4" s="2" t="s">
        <v>2</v>
      </c>
      <c r="B4" t="s">
        <v>3</v>
      </c>
      <c r="C4">
        <v>1</v>
      </c>
      <c r="D4" s="3">
        <f>C4*65.5</f>
        <v>65.5</v>
      </c>
    </row>
    <row r="5" spans="1:5" x14ac:dyDescent="0.35">
      <c r="A5" s="2" t="s">
        <v>4</v>
      </c>
      <c r="B5" t="s">
        <v>5</v>
      </c>
      <c r="C5">
        <v>1</v>
      </c>
      <c r="D5" s="3">
        <f>C5*17.94</f>
        <v>17.940000000000001</v>
      </c>
    </row>
    <row r="6" spans="1:5" x14ac:dyDescent="0.35">
      <c r="A6" s="2" t="s">
        <v>6</v>
      </c>
      <c r="B6" t="s">
        <v>7</v>
      </c>
      <c r="C6">
        <v>1</v>
      </c>
      <c r="D6" s="3">
        <v>152.57</v>
      </c>
    </row>
    <row r="7" spans="1:5" x14ac:dyDescent="0.35">
      <c r="A7" s="8" t="s">
        <v>8</v>
      </c>
      <c r="B7" t="s">
        <v>9</v>
      </c>
      <c r="C7">
        <v>1</v>
      </c>
      <c r="D7" s="3"/>
    </row>
    <row r="8" spans="1:5" x14ac:dyDescent="0.35">
      <c r="A8" s="8" t="s">
        <v>10</v>
      </c>
      <c r="B8" t="s">
        <v>39</v>
      </c>
      <c r="C8">
        <v>1</v>
      </c>
      <c r="D8" s="3"/>
    </row>
    <row r="9" spans="1:5" x14ac:dyDescent="0.35">
      <c r="A9" s="9" t="s">
        <v>48</v>
      </c>
      <c r="B9" t="s">
        <v>49</v>
      </c>
      <c r="C9">
        <v>1</v>
      </c>
      <c r="D9" s="3"/>
    </row>
    <row r="10" spans="1:5" x14ac:dyDescent="0.35">
      <c r="D10" s="3"/>
    </row>
    <row r="11" spans="1:5" x14ac:dyDescent="0.35">
      <c r="A11" t="s">
        <v>33</v>
      </c>
      <c r="D11" s="3"/>
    </row>
    <row r="12" spans="1:5" x14ac:dyDescent="0.35">
      <c r="A12" s="2" t="s">
        <v>11</v>
      </c>
      <c r="B12" t="s">
        <v>12</v>
      </c>
      <c r="C12">
        <v>2</v>
      </c>
      <c r="D12" s="3">
        <v>12.1</v>
      </c>
    </row>
    <row r="13" spans="1:5" x14ac:dyDescent="0.35">
      <c r="A13" t="s">
        <v>13</v>
      </c>
      <c r="B13" t="s">
        <v>14</v>
      </c>
      <c r="C13">
        <v>1</v>
      </c>
      <c r="D13" s="3">
        <v>0</v>
      </c>
    </row>
    <row r="14" spans="1:5" x14ac:dyDescent="0.35">
      <c r="D14" s="3"/>
    </row>
    <row r="15" spans="1:5" x14ac:dyDescent="0.35">
      <c r="A15" t="s">
        <v>15</v>
      </c>
      <c r="D15" s="3"/>
    </row>
    <row r="16" spans="1:5" x14ac:dyDescent="0.35">
      <c r="A16" s="4" t="s">
        <v>16</v>
      </c>
      <c r="B16" t="s">
        <v>40</v>
      </c>
      <c r="C16" t="s">
        <v>18</v>
      </c>
      <c r="D16" s="3">
        <v>21.17</v>
      </c>
    </row>
    <row r="17" spans="1:4" x14ac:dyDescent="0.35">
      <c r="A17" s="2" t="s">
        <v>17</v>
      </c>
      <c r="B17" t="s">
        <v>41</v>
      </c>
      <c r="C17" t="s">
        <v>18</v>
      </c>
      <c r="D17" s="3">
        <v>12</v>
      </c>
    </row>
    <row r="18" spans="1:4" x14ac:dyDescent="0.35">
      <c r="A18" s="2" t="s">
        <v>19</v>
      </c>
      <c r="B18" t="s">
        <v>20</v>
      </c>
      <c r="C18">
        <v>6</v>
      </c>
      <c r="D18" s="3">
        <v>9.59</v>
      </c>
    </row>
    <row r="19" spans="1:4" x14ac:dyDescent="0.35">
      <c r="A19" s="7" t="s">
        <v>45</v>
      </c>
      <c r="B19" t="s">
        <v>46</v>
      </c>
      <c r="C19" t="s">
        <v>47</v>
      </c>
      <c r="D19" s="3">
        <v>15.08</v>
      </c>
    </row>
    <row r="20" spans="1:4" x14ac:dyDescent="0.35">
      <c r="A20" s="10" t="s">
        <v>50</v>
      </c>
      <c r="B20" t="s">
        <v>51</v>
      </c>
      <c r="C20" t="s">
        <v>52</v>
      </c>
      <c r="D20" s="3"/>
    </row>
    <row r="21" spans="1:4" x14ac:dyDescent="0.35">
      <c r="A21" s="2" t="s">
        <v>21</v>
      </c>
      <c r="B21" t="s">
        <v>34</v>
      </c>
      <c r="D21" s="3">
        <v>5.87</v>
      </c>
    </row>
    <row r="22" spans="1:4" x14ac:dyDescent="0.35">
      <c r="A22" s="2" t="s">
        <v>22</v>
      </c>
      <c r="B22" t="s">
        <v>23</v>
      </c>
      <c r="C22" t="s">
        <v>24</v>
      </c>
      <c r="D22" s="3">
        <v>8.66</v>
      </c>
    </row>
    <row r="23" spans="1:4" x14ac:dyDescent="0.35">
      <c r="A23" s="2" t="s">
        <v>25</v>
      </c>
      <c r="D23" s="3">
        <v>6.04</v>
      </c>
    </row>
    <row r="24" spans="1:4" x14ac:dyDescent="0.35">
      <c r="A24" s="2"/>
      <c r="D24" s="3"/>
    </row>
    <row r="25" spans="1:4" x14ac:dyDescent="0.35">
      <c r="A25" t="s">
        <v>35</v>
      </c>
      <c r="D25" s="3"/>
    </row>
    <row r="26" spans="1:4" x14ac:dyDescent="0.35">
      <c r="A26" t="s">
        <v>26</v>
      </c>
      <c r="B26" t="s">
        <v>36</v>
      </c>
      <c r="C26">
        <v>1</v>
      </c>
      <c r="D26" s="3">
        <v>0</v>
      </c>
    </row>
    <row r="27" spans="1:4" x14ac:dyDescent="0.35">
      <c r="A27" s="7" t="s">
        <v>43</v>
      </c>
      <c r="B27" t="s">
        <v>44</v>
      </c>
      <c r="C27">
        <v>1</v>
      </c>
      <c r="D27" s="3">
        <v>22.18</v>
      </c>
    </row>
    <row r="28" spans="1:4" x14ac:dyDescent="0.35">
      <c r="A28" s="2" t="s">
        <v>27</v>
      </c>
      <c r="B28" t="s">
        <v>37</v>
      </c>
      <c r="C28" t="s">
        <v>24</v>
      </c>
      <c r="D28" s="3">
        <v>10.07</v>
      </c>
    </row>
    <row r="29" spans="1:4" x14ac:dyDescent="0.35">
      <c r="A29" s="2" t="s">
        <v>38</v>
      </c>
      <c r="B29" t="s">
        <v>42</v>
      </c>
      <c r="C29" t="s">
        <v>28</v>
      </c>
      <c r="D29" s="3">
        <v>7.16</v>
      </c>
    </row>
    <row r="30" spans="1:4" x14ac:dyDescent="0.35">
      <c r="A30" t="s">
        <v>53</v>
      </c>
      <c r="B30" t="s">
        <v>54</v>
      </c>
      <c r="C30">
        <v>1</v>
      </c>
      <c r="D30" s="3"/>
    </row>
    <row r="31" spans="1:4" x14ac:dyDescent="0.35">
      <c r="D31" s="5">
        <f>SUM(D4:D30)</f>
        <v>365.93</v>
      </c>
    </row>
  </sheetData>
  <hyperlinks>
    <hyperlink ref="A29" r:id="rId1" xr:uid="{734513EE-8BD0-493B-9B76-0A58AFDD11A3}"/>
    <hyperlink ref="A4" r:id="rId2" xr:uid="{69987FE7-C984-44CE-B012-F272C2F9439E}"/>
    <hyperlink ref="A5" r:id="rId3" xr:uid="{6479C033-9AF0-406A-8A28-CEBC83983A0F}"/>
    <hyperlink ref="A6" r:id="rId4" xr:uid="{6B2E608C-8AA5-4C0B-9060-520FC8666084}"/>
    <hyperlink ref="A12" r:id="rId5" xr:uid="{6D31BE2C-BAC0-4D79-8482-CB9E7F328070}"/>
    <hyperlink ref="A17" r:id="rId6" xr:uid="{E0EF3F67-2FF3-43F5-A14B-C16CF9894C41}"/>
    <hyperlink ref="A21" r:id="rId7" xr:uid="{FA9498DA-3F24-4A1D-AE9E-9A40404541C7}"/>
    <hyperlink ref="A22" r:id="rId8" xr:uid="{072B190C-9F98-4C60-9A14-E251541A2175}"/>
    <hyperlink ref="A23" r:id="rId9" xr:uid="{FFE12644-12E8-4C78-8A30-54CE5B3B75AA}"/>
    <hyperlink ref="A28" r:id="rId10" xr:uid="{6D906303-861B-45CF-8FDB-85994CA9A076}"/>
    <hyperlink ref="A16" r:id="rId11" xr:uid="{7D39CF25-36A6-4E78-9A87-3679C2779A60}"/>
    <hyperlink ref="A27" r:id="rId12" display="Sparkleiot 2.8 Inch TFT Touch Display" xr:uid="{0F3910A8-1A4E-40E9-8971-2DEE2BEA8BE5}"/>
    <hyperlink ref="A19" r:id="rId13" xr:uid="{B89E949B-685E-4850-A7B9-3E4B37BAE5FF}"/>
    <hyperlink ref="A18" r:id="rId14" xr:uid="{E54F8627-A062-4F82-BC88-4F0B2EAF305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Baumann</dc:creator>
  <cp:lastModifiedBy>BAUMANN Christian, SchülerIn</cp:lastModifiedBy>
  <dcterms:created xsi:type="dcterms:W3CDTF">2015-06-05T18:19:34Z</dcterms:created>
  <dcterms:modified xsi:type="dcterms:W3CDTF">2025-10-22T21:47:34Z</dcterms:modified>
</cp:coreProperties>
</file>