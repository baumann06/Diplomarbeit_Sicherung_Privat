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HTL\HTL 5\Diplomarbeit_Sicherung_Privat\Diplomarbeit\Zeiterfassung\"/>
    </mc:Choice>
  </mc:AlternateContent>
  <xr:revisionPtr revIDLastSave="0" documentId="13_ncr:1_{F794AD70-EB97-49F0-9B6D-08493BA7D4D6}" xr6:coauthVersionLast="47" xr6:coauthVersionMax="47" xr10:uidLastSave="{00000000-0000-0000-0000-000000000000}"/>
  <bookViews>
    <workbookView xWindow="20" yWindow="20" windowWidth="23980" windowHeight="15260" xr2:uid="{00000000-000D-0000-FFFF-FFFF00000000}"/>
  </bookViews>
  <sheets>
    <sheet name="Stundenaufzeichnung" sheetId="1" r:id="rId1"/>
    <sheet name="Meilenste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9" i="1" l="1"/>
</calcChain>
</file>

<file path=xl/sharedStrings.xml><?xml version="1.0" encoding="utf-8"?>
<sst xmlns="http://schemas.openxmlformats.org/spreadsheetml/2006/main" count="400" uniqueCount="260">
  <si>
    <t>STUNDENAUFZEICHNUNG – DIPLOMARBEIT</t>
  </si>
  <si>
    <t>Christian Baumann  |  Energie-Modul  |  2025 / 2026</t>
  </si>
  <si>
    <t>Nr.</t>
  </si>
  <si>
    <t>Datum</t>
  </si>
  <si>
    <t>Zeitraum</t>
  </si>
  <si>
    <t>Meilenstein</t>
  </si>
  <si>
    <t>Tätigkeit / Beschreibung</t>
  </si>
  <si>
    <t>13.09.2025</t>
  </si>
  <si>
    <t>09:00 – 10:00</t>
  </si>
  <si>
    <t>Planung</t>
  </si>
  <si>
    <t>Modulplanung: Anforderungen, Themenstruktur, erste Notizen</t>
  </si>
  <si>
    <t>15.09.2025</t>
  </si>
  <si>
    <t>15:25 – 17:41</t>
  </si>
  <si>
    <t>Vorbereitung</t>
  </si>
  <si>
    <t>Projektgrundlagen definiert; Aufgaben verteilt; Projektübersicht erstellt</t>
  </si>
  <si>
    <t>17.09.2025</t>
  </si>
  <si>
    <t>16:47 – 18:45</t>
  </si>
  <si>
    <t>Projektziel präzisiert; Komponentenliste erstellt; Rücksprache Prof. Klotz</t>
  </si>
  <si>
    <t>19.09.2025</t>
  </si>
  <si>
    <t>17:00 – 19:30</t>
  </si>
  <si>
    <t>Diplomarbeit Schreiben</t>
  </si>
  <si>
    <t>Kap. 4 Einleitung: erste Textentwürfe, Quellensichtung</t>
  </si>
  <si>
    <t>20.09.2025</t>
  </si>
  <si>
    <t>09:00 – 11:00</t>
  </si>
  <si>
    <t>Komponentenbedarf geplant; Gehäuse &amp; Verbauort überlegt</t>
  </si>
  <si>
    <t>21.09.2025</t>
  </si>
  <si>
    <t>09:00 – 13:00</t>
  </si>
  <si>
    <t>Komponentenauswahl; Spezifikationen &amp; Preise verglichen</t>
  </si>
  <si>
    <t>22.09.2025</t>
  </si>
  <si>
    <t>12:14 – 14:35</t>
  </si>
  <si>
    <t>Bauteilliste erstellt; offene Fragen für Prof. Klotz ausgearbeitet</t>
  </si>
  <si>
    <t>24.09.2025</t>
  </si>
  <si>
    <t>15:36 – 18:59</t>
  </si>
  <si>
    <t>TimeTracker fertiggestellt; Rückmeldungen Prof. Klotz besprochen; Overleaf vorbereitet</t>
  </si>
  <si>
    <t>25.09.2025</t>
  </si>
  <si>
    <t>16:07 – 17:06</t>
  </si>
  <si>
    <t>Komponentenauswahl Modul 1; Datenblätter recherchiert</t>
  </si>
  <si>
    <t>26.09.2025</t>
  </si>
  <si>
    <t>14:30 – 17:18</t>
  </si>
  <si>
    <t>Komponentenauswahl Modul 1–3; Alternativen &amp; Preise verglichen</t>
  </si>
  <si>
    <t>Meilenstein: Konzeptplanung und Komponentenwahl fürs Energiemanagement fertig  (25.09.2025)</t>
  </si>
  <si>
    <t>27.09.2025</t>
  </si>
  <si>
    <t>17:37 – 18:04</t>
  </si>
  <si>
    <t>Komponenteneinbau geplant; Text Themeneinreichung finalisiert</t>
  </si>
  <si>
    <t>29.09.2025</t>
  </si>
  <si>
    <t>18:30 – 21:00</t>
  </si>
  <si>
    <t>Systemarchitektur detailliert; Anforderungsliste überarbeitet</t>
  </si>
  <si>
    <t>06.10.2025</t>
  </si>
  <si>
    <t>20:30 – 23:00</t>
  </si>
  <si>
    <t>Grundlagen Photovoltaik recherchiert; Kap. 4.2 Gliederung verfeinert</t>
  </si>
  <si>
    <t>13.10.2025</t>
  </si>
  <si>
    <t>19:00 – 21:00</t>
  </si>
  <si>
    <t>Kap. 4.2 Batteriespeicher geschrieben; Datenblätter eingearbeitet</t>
  </si>
  <si>
    <t>Meilenstein: Neuauswahl Victron-Komponenten – ursprüngliche Auswahl preisorientiert, Sponsor fordert Victron-Produktlinie  (30.10.2025)</t>
  </si>
  <si>
    <t>20.10.2025</t>
  </si>
  <si>
    <t>19:30 – 22:00</t>
  </si>
  <si>
    <t>Kap. 4.3 Systemintegration &amp; Verkabelung geschrieben</t>
  </si>
  <si>
    <t>28.10.2025</t>
  </si>
  <si>
    <t>09:00 – 12:30</t>
  </si>
  <si>
    <t>Kap. 4.1 Zielsetzung &amp; Abgrenzung – 1. Fassung</t>
  </si>
  <si>
    <t>29.10.2025</t>
  </si>
  <si>
    <t>09:00 – 12:00</t>
  </si>
  <si>
    <t>Kap. 4.7 Wirtschaftsteil – 1. Fassung; ROI-Grundlagen recherchiert</t>
  </si>
  <si>
    <t>30.10.2025</t>
  </si>
  <si>
    <t>Meilenstein: PV-System geplant und dokumentiert, Batterietechnik-Analyse erstellt – physischer Aufbau ausstehend (Komponenten vom Sponsor noch nicht übergeben)  (15.11.2025)</t>
  </si>
  <si>
    <t>31.10.2025</t>
  </si>
  <si>
    <t>10.11.2025</t>
  </si>
  <si>
    <t>11:58</t>
  </si>
  <si>
    <t>Kommunikation Sponsor</t>
  </si>
  <si>
    <t>Anruf Sponsor (4 Min.) – Komponentenerhalt erfragt</t>
  </si>
  <si>
    <t>11.11.2025</t>
  </si>
  <si>
    <t>17:00</t>
  </si>
  <si>
    <t>Anruf Sponsor – nicht abgehoben</t>
  </si>
  <si>
    <t>12.11.2025</t>
  </si>
  <si>
    <t>15:30</t>
  </si>
  <si>
    <t>Telefonat Sponsor (11 Min.) – Komponentenerhalt; Nachbearbeitung</t>
  </si>
  <si>
    <t>15.11.2025</t>
  </si>
  <si>
    <t>Kap. 4.2 – 1. Fassung; Komponentenliste aktualisiert</t>
  </si>
  <si>
    <t>22.11.2025</t>
  </si>
  <si>
    <t>Kap. 4.3 – 1. Fassung; technische Details vertieft</t>
  </si>
  <si>
    <t>25.11.2025</t>
  </si>
  <si>
    <t>09:50</t>
  </si>
  <si>
    <t>Neue Komponentenliste per E-Mail an Sponsor übermittelt</t>
  </si>
  <si>
    <t>29.11.2025</t>
  </si>
  <si>
    <t>Kap. 4.4 Batteriesystem/AGM – 1. Fassung; AGM-Technologie recherchiert</t>
  </si>
  <si>
    <t>01.12.2025</t>
  </si>
  <si>
    <t>19:00 – 21:30</t>
  </si>
  <si>
    <t>Kap. 4.5 Laderegler – geschrieben &amp; überarbeitet; Victron-Daten eingearbeitet</t>
  </si>
  <si>
    <t>07.12.2025</t>
  </si>
  <si>
    <t>Kap. 4.5 &amp; 4.6 – 1. Fassung; Wechselrichter &amp; Laderegler recherchiert</t>
  </si>
  <si>
    <t>08.12.2025</t>
  </si>
  <si>
    <t>Kap. 4.6 Wechselrichter &amp; Netzeinspeisung; Normen recherchiert</t>
  </si>
  <si>
    <t>13.12.2025</t>
  </si>
  <si>
    <t>Verteilerschrank recherchiert &amp; geplant; erste Schaltplanskizzen</t>
  </si>
  <si>
    <t>15.12.2025</t>
  </si>
  <si>
    <t>Kap. 4.7 Wirtschaftlichkeitsanalyse – Struktur &amp; erste Berechnungen</t>
  </si>
  <si>
    <t>20.12.2025</t>
  </si>
  <si>
    <t>10:30 – 13:00</t>
  </si>
  <si>
    <t>Verteilerschrank: Belegungsplan, Komponentenanordnung, Kabelführung</t>
  </si>
  <si>
    <t>23.12.2025</t>
  </si>
  <si>
    <t>13:40</t>
  </si>
  <si>
    <t>Anruf Sponsor – nicht abgehoben (1. Versuch)</t>
  </si>
  <si>
    <t>19:00</t>
  </si>
  <si>
    <t>WhatsApp Sponsor – Komponenten in Lieferung; Schaltplan bearbeitet</t>
  </si>
  <si>
    <t>Meilenstein: ROI-Berechnungen abgeschlossen; Lastverteilung konzipiert und dokumentiert – Konfiguration auf Hardware ausstehend (Komponenten fehlen)  (20.12.2025)</t>
  </si>
  <si>
    <t>25.12.2025</t>
  </si>
  <si>
    <t>Kap. 4.2 – 2. Fassung; Feedback eingearbeitet</t>
  </si>
  <si>
    <t>26.12.2025</t>
  </si>
  <si>
    <t>Kap. 4.3 – 2. Fassung; Diagramme ergänzt</t>
  </si>
  <si>
    <t>27.12.2025</t>
  </si>
  <si>
    <t>Kap. 4.5 recherchiert – Solar-Laderegler Grundlagen</t>
  </si>
  <si>
    <t>Anruf Sponsor – nicht abgehoben (27.12.)</t>
  </si>
  <si>
    <t>28.12.2025</t>
  </si>
  <si>
    <t>Kap. 4.6 recherchiert – Wechselrichtermodelle &amp; Topologien</t>
  </si>
  <si>
    <t>29.12.2025</t>
  </si>
  <si>
    <t>Kap. 4.7 recherchiert – Vergleichsdaten &amp; Marktpreise</t>
  </si>
  <si>
    <t>12:30</t>
  </si>
  <si>
    <t>Anruf Sponsor – nicht abgehoben (29.12.)</t>
  </si>
  <si>
    <t>30.12.2025</t>
  </si>
  <si>
    <t>14:00 – 14:05</t>
  </si>
  <si>
    <t>Anruf Sponsor – nicht abgehoben (30.12., 1. Versuch)</t>
  </si>
  <si>
    <t>19:30</t>
  </si>
  <si>
    <t>Anruf Sponsor – nicht abgehoben (30.12., 2. Versuch)</t>
  </si>
  <si>
    <t>01.01.2026</t>
  </si>
  <si>
    <t>Erkenntnisse Kap. 4.5–4.7 zusammengefasst</t>
  </si>
  <si>
    <t>02.01.2026</t>
  </si>
  <si>
    <t>16:30</t>
  </si>
  <si>
    <t>Sponsor ruft zurück (3 Min.) – Lieferstatus Komponenten</t>
  </si>
  <si>
    <t>05.01.2026</t>
  </si>
  <si>
    <t>20:30 – 22:30</t>
  </si>
  <si>
    <t>Kap. 4.5 überarbeitet &amp; ergänzt; MPPT-Quellen eingearbeitet</t>
  </si>
  <si>
    <t>08.01.2026</t>
  </si>
  <si>
    <t>20:00 – 22:30</t>
  </si>
  <si>
    <t>Kap. 4.6 Wechselrichter – Feinschliff &amp; Präzisierung</t>
  </si>
  <si>
    <t>12.01.2026</t>
  </si>
  <si>
    <t>Kap. 4.7 Wirtschaftlichkeitsvergleich &amp; Break-Even überarbeitet</t>
  </si>
  <si>
    <t>15.01.2026</t>
  </si>
  <si>
    <t>Anruf Sponsor – nicht abgehoben (15.01.)</t>
  </si>
  <si>
    <t>17.01.2026</t>
  </si>
  <si>
    <t>Kap. 4.5 – 2. Fassung; Laderegler-Beschreibungen vertieft</t>
  </si>
  <si>
    <t>19.01.2026</t>
  </si>
  <si>
    <t>18:00 – 20:30</t>
  </si>
  <si>
    <t>Kap. 4.8 Systemüberwachung Cerbo GX – 1. Fassung</t>
  </si>
  <si>
    <t>21.01.2026</t>
  </si>
  <si>
    <t>Kap. 4.9 Gesamtbetrachtung &amp; Systemintegration – 1. Fassung</t>
  </si>
  <si>
    <t>24.01.2026</t>
  </si>
  <si>
    <t>Kap. 4.5–4.9 zusammengeführt; Querverweise &amp; Korrekturen</t>
  </si>
  <si>
    <t>Meilenstein: Wirtschaftlichkeitsvergleich und Doku-Rohfassung erstellt  (10.02.2026)</t>
  </si>
  <si>
    <t>27.01.2026</t>
  </si>
  <si>
    <t>10:00 – 11:30</t>
  </si>
  <si>
    <t>Messenger-Nachfrage Komponenten; Sponsor bestätigt Eingang</t>
  </si>
  <si>
    <t>Anruf Sponsor – nicht abgehoben (27.01.)</t>
  </si>
  <si>
    <t>19:30 – 21:00</t>
  </si>
  <si>
    <t>30.01.2026</t>
  </si>
  <si>
    <t>13:00</t>
  </si>
  <si>
    <t>E-Mail Sponsor – Verteilerschrank, Komponentenauswahl, Zusammenbau</t>
  </si>
  <si>
    <t>31.01.2026</t>
  </si>
  <si>
    <t>11:00 – 12:00</t>
  </si>
  <si>
    <t>Kap. 4.6 – 2. Fassung, Teil 1</t>
  </si>
  <si>
    <t>01.02.2026</t>
  </si>
  <si>
    <t>09:00 – 10:30</t>
  </si>
  <si>
    <t>Kap. 4.6 – 2. Fassung, Teil 2</t>
  </si>
  <si>
    <t>02.02.2026</t>
  </si>
  <si>
    <t>Kap. 4.6 Abschluss; Abbildungen &amp; Tabellen eingearbeitet</t>
  </si>
  <si>
    <t>04.02.2026</t>
  </si>
  <si>
    <t>14:00 - 14:30</t>
  </si>
  <si>
    <t>Kap. 4.6 Feinschliff &amp; Abschluss</t>
  </si>
  <si>
    <t>Meilenstein: Feedback Prof. Reiter eingearbeitet – alle Wirtschaftsanalysen fertiggestellt  (26.02.2026)</t>
  </si>
  <si>
    <t>Meilenstein: Feedback eingearbeitet und Break-Even-Analysen fertig  (01.03.2026)</t>
  </si>
  <si>
    <t>05.02.2026</t>
  </si>
  <si>
    <t>16:30 – 19:00</t>
  </si>
  <si>
    <t>Kap. 4.1–4.4 überarbeitet; Struktur &amp; Korrekturen</t>
  </si>
  <si>
    <t>07.02.2026</t>
  </si>
  <si>
    <t>09:30 – 12:00</t>
  </si>
  <si>
    <t>09.02.2026</t>
  </si>
  <si>
    <t>10.02.2026</t>
  </si>
  <si>
    <t>11.02.2026</t>
  </si>
  <si>
    <t>12.02.2026</t>
  </si>
  <si>
    <t>13.02.2026</t>
  </si>
  <si>
    <t>Gesamtkontrolle – Querverweise &amp; Formatierung korrigiert</t>
  </si>
  <si>
    <t>14.02.2026</t>
  </si>
  <si>
    <t>Abschlusskontrolle; Kapitelstruktur finalisiert</t>
  </si>
  <si>
    <t>15.02.2026</t>
  </si>
  <si>
    <t>Sponsor: Schaltschrank organisiert, Übergabe geplant – nicht erfolgt</t>
  </si>
  <si>
    <t>19.02.2026</t>
  </si>
  <si>
    <t>09:00 – 09:20</t>
  </si>
  <si>
    <t>Kommunikation Prof.</t>
  </si>
  <si>
    <t>E-Mail Prof. Fankhauser – Projektunterstützung, ET-Aufbau</t>
  </si>
  <si>
    <t>20.02.2026</t>
  </si>
  <si>
    <t>E-Mail Prof. Fankhauser – Rückfragen ET-Aufbau</t>
  </si>
  <si>
    <t>22.02.2026</t>
  </si>
  <si>
    <t>E-Mail Prof. Fankhauser – Aufbau-Details geklärt</t>
  </si>
  <si>
    <t>23.02.2026</t>
  </si>
  <si>
    <t>09:40</t>
  </si>
  <si>
    <t>Nachfrage Komponentenabholung; Rücksprache Prof. Klotz</t>
  </si>
  <si>
    <t>11:00 – 11:45</t>
  </si>
  <si>
    <t>Besprechung Prof. Fankhauser (45 Min.) – ET-Aufbau Modul</t>
  </si>
  <si>
    <t>24.02.2026</t>
  </si>
  <si>
    <t>09:00 – 09:30</t>
  </si>
  <si>
    <t>Prof. Klotz kontaktiert Sponsor wg. Komponentenübergabe</t>
  </si>
  <si>
    <t>26.02.2026</t>
  </si>
  <si>
    <t>Feedback Prof. Reiter eingearbeitet – Wirtschaftsteil korrigiert</t>
  </si>
  <si>
    <t>02.03.2026</t>
  </si>
  <si>
    <t>Break-Even-Analyse überarbeitet; finale Berechnungen eingearbeitet</t>
  </si>
  <si>
    <t>09.03.2026</t>
  </si>
  <si>
    <t>Kap. 4 – Layout, Formatierung, Abbildungsverzeichnis</t>
  </si>
  <si>
    <t>11.03.2026</t>
  </si>
  <si>
    <t>18:00 – 20:00</t>
  </si>
  <si>
    <t>Zusammenfassung &amp; Abstract geschrieben; Einleitung überarbeitet</t>
  </si>
  <si>
    <t>14.03.2026</t>
  </si>
  <si>
    <t>09:30 – 11:45</t>
  </si>
  <si>
    <t>Kap. 4.1–4.3 Feinschliff; Fachbegriffe korrigiert</t>
  </si>
  <si>
    <t>16.03.2026</t>
  </si>
  <si>
    <t>17:30 – 19:30</t>
  </si>
  <si>
    <t>Abklärung Prof. Klotz – verfügbare Professoren für Schrank-Arbeiten</t>
  </si>
  <si>
    <t>Praktische Arbeit Schrank</t>
  </si>
  <si>
    <t>Bohrungen Schrank; Verkabelung &amp; Kabelführung geplant</t>
  </si>
  <si>
    <t>25.03.2026</t>
  </si>
  <si>
    <t>Meilenstein: Finalisierung – Korrektur, Layout, Druck und Abgabe  (25.03.2026)</t>
  </si>
  <si>
    <t>GESAMT</t>
  </si>
  <si>
    <t>LEGENDE</t>
  </si>
  <si>
    <t xml:space="preserve">  Vorbereitung</t>
  </si>
  <si>
    <t xml:space="preserve">  Planung</t>
  </si>
  <si>
    <t xml:space="preserve">  Diplomarbeit Schreiben</t>
  </si>
  <si>
    <t xml:space="preserve">  Kommunikation Sponsor</t>
  </si>
  <si>
    <t xml:space="preserve">  Kommunikation Prof.</t>
  </si>
  <si>
    <t xml:space="preserve">  Praktische Arbeit Schrank</t>
  </si>
  <si>
    <t xml:space="preserve">  Meilenstein</t>
  </si>
  <si>
    <t>MEILENSTEINE – Christian Baumann</t>
  </si>
  <si>
    <t>Energie-Modul  |  Diplomarbeit 2025 / 2026</t>
  </si>
  <si>
    <t>Status</t>
  </si>
  <si>
    <t>Konzeptplanung und Komponentenwahl fürs Energiemanagement fertig</t>
  </si>
  <si>
    <t>✅ Erreicht</t>
  </si>
  <si>
    <t>PV-System geplant und dokumentiert, Batterietechnik-Analyse erstellt – physischer Aufbau ausstehend (Komponenten vom Sponsor noch nicht übergeben)</t>
  </si>
  <si>
    <t>ROI-Berechnungen abgeschlossen; Lastverteilung konzipiert und dokumentiert – Konfiguration auf Hardware ausstehend (Komponenten vom Sponsor noch nicht übergeben)</t>
  </si>
  <si>
    <t>Wirtschaftlichkeitsvergleich und Doku-Rohfassung erstellt</t>
  </si>
  <si>
    <t>01.03.2026</t>
  </si>
  <si>
    <t>Feedback eingearbeitet und Break-Even-Analysen fertig</t>
  </si>
  <si>
    <t>Finalisierung – Korrektur, Layout, Druck und Präsentation vorbereitet</t>
  </si>
  <si>
    <t>🔲 Ausstehend</t>
  </si>
  <si>
    <t>Neuauswahl Komponenten: ursprüngliche Auswahl war preisorientiert – Sponsor fordert Victron-Produktlinie; neue Komponentenauswahl durchgeführt</t>
  </si>
  <si>
    <t>Feedback von Prof. Reiter (Wirtschaftsteil) erhalten und eingearbeitet; alle Wirtschaftsanalysen fertiggestellt</t>
  </si>
  <si>
    <t>Komponentenrecherche fortgesetzt</t>
  </si>
  <si>
    <t>Stunden</t>
  </si>
  <si>
    <t>15:00 – 17:00</t>
  </si>
  <si>
    <t>13:20 – 15:20</t>
  </si>
  <si>
    <t>14:10 – 17:10</t>
  </si>
  <si>
    <t>22:00 – 23:30</t>
  </si>
  <si>
    <t>08:00 – 12:00</t>
  </si>
  <si>
    <t>Verkabelung</t>
  </si>
  <si>
    <t>Schlusskapitel &amp; Zusammenfassung geschrieben finalisiert</t>
  </si>
  <si>
    <t>Bohrungen Schrank; Montagepunkte vorbereitet; Komponenten eingebaut</t>
  </si>
  <si>
    <t>Bohrungen Schrank</t>
  </si>
  <si>
    <t>Kap. 4.7–4.9</t>
  </si>
  <si>
    <t>Kap. 4.9 – 1. Fassung</t>
  </si>
  <si>
    <t>Kap. 4.8 – 1. Fassung</t>
  </si>
  <si>
    <t>Kap. 4.7 – Überarbeitung</t>
  </si>
  <si>
    <t>Kap. 4.7 Wirtschaftlichkeitsanalyse</t>
  </si>
  <si>
    <t>Besprechung Sponsor  – keine Übergabe; neue Aufgaben notiert</t>
  </si>
  <si>
    <t>Neue Komponenten nach Sponsor-Vorgaben recherchiert; Victron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</si>
</sst>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name val="Arial"/>
    </font>
    <font>
      <b/>
      <sz val="9"/>
      <name val="Arial"/>
    </font>
    <font>
      <b/>
      <sz val="16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276221"/>
      <name val="Arial"/>
    </font>
    <font>
      <b/>
      <sz val="11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DDEEFF"/>
        <bgColor rgb="FFDDEEFF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</patternFill>
    </fill>
    <fill>
      <patternFill patternType="solid">
        <fgColor rgb="FFEDE7F6"/>
      </patternFill>
    </fill>
    <fill>
      <patternFill patternType="solid">
        <fgColor rgb="FFDDEEFF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E0CC"/>
      </patternFill>
    </fill>
    <fill>
      <patternFill patternType="solid">
        <fgColor rgb="FFBDD7EE"/>
        <bgColor rgb="FFBDD7EE"/>
      </patternFill>
    </fill>
    <fill>
      <patternFill patternType="solid">
        <fgColor rgb="FFD6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left" vertical="center" wrapText="1"/>
    </xf>
    <xf numFmtId="0" fontId="10" fillId="9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left" vertical="center" wrapText="1"/>
    </xf>
    <xf numFmtId="0" fontId="10" fillId="10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left" vertical="center" wrapText="1"/>
    </xf>
    <xf numFmtId="0" fontId="10" fillId="12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left" vertical="center" wrapText="1"/>
    </xf>
    <xf numFmtId="0" fontId="10" fillId="13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left" vertical="center" wrapText="1"/>
    </xf>
    <xf numFmtId="0" fontId="10" fillId="14" borderId="0" xfId="0" applyFont="1" applyFill="1" applyAlignment="1">
      <alignment horizontal="center" vertical="center" wrapText="1"/>
    </xf>
    <xf numFmtId="0" fontId="12" fillId="1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 wrapText="1"/>
    </xf>
    <xf numFmtId="0" fontId="14" fillId="11" borderId="0" xfId="0" applyFont="1" applyFill="1" applyAlignment="1">
      <alignment horizontal="left" vertical="center"/>
    </xf>
    <xf numFmtId="0" fontId="0" fillId="0" borderId="0" xfId="0"/>
    <xf numFmtId="0" fontId="11" fillId="11" borderId="0" xfId="0" applyFont="1" applyFill="1" applyAlignment="1">
      <alignment horizontal="left" vertical="center" wrapText="1"/>
    </xf>
    <xf numFmtId="0" fontId="13" fillId="16" borderId="0" xfId="0" applyFont="1" applyFill="1" applyAlignment="1">
      <alignment horizontal="left" vertical="center"/>
    </xf>
    <xf numFmtId="0" fontId="14" fillId="14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4" fillId="12" borderId="0" xfId="0" applyFont="1" applyFill="1" applyAlignment="1">
      <alignment horizontal="left" vertical="center"/>
    </xf>
    <xf numFmtId="0" fontId="12" fillId="15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9" fillId="14" borderId="0" xfId="0" applyNumberFormat="1" applyFont="1" applyFill="1" applyAlignment="1">
      <alignment horizontal="left" vertical="center" wrapText="1"/>
    </xf>
    <xf numFmtId="14" fontId="9" fillId="10" borderId="0" xfId="0" applyNumberFormat="1" applyFont="1" applyFill="1" applyAlignment="1">
      <alignment horizontal="left" vertical="center" wrapText="1"/>
    </xf>
  </cellXfs>
  <cellStyles count="1">
    <cellStyle name="Standard" xfId="0" builtinId="0"/>
  </cellStyles>
  <dxfs count="0"/>
  <tableStyles count="1" defaultTableStyle="TableStyleMedium9" defaultPivotStyle="PivotStyleLight16">
    <tableStyle name="Invisible" pivot="0" table="0" count="0" xr9:uid="{4170A5BC-8106-49C7-AA57-68AA6846C4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>
      <selection activeCell="I17" sqref="I17"/>
    </sheetView>
  </sheetViews>
  <sheetFormatPr baseColWidth="10" defaultColWidth="8.7265625" defaultRowHeight="14.5" x14ac:dyDescent="0.35"/>
  <cols>
    <col min="1" max="1" width="5" customWidth="1"/>
    <col min="2" max="2" width="13" customWidth="1"/>
    <col min="3" max="3" width="22" customWidth="1"/>
    <col min="4" max="4" width="24" customWidth="1"/>
    <col min="5" max="5" width="52" customWidth="1"/>
    <col min="6" max="6" width="12" customWidth="1"/>
  </cols>
  <sheetData>
    <row r="1" spans="1:6" ht="20" x14ac:dyDescent="0.35">
      <c r="A1" s="44" t="s">
        <v>0</v>
      </c>
      <c r="B1" s="33"/>
      <c r="C1" s="33"/>
      <c r="D1" s="33"/>
      <c r="E1" s="33"/>
      <c r="F1" s="33"/>
    </row>
    <row r="2" spans="1:6" x14ac:dyDescent="0.35">
      <c r="A2" s="38" t="s">
        <v>1</v>
      </c>
      <c r="B2" s="33"/>
      <c r="C2" s="33"/>
      <c r="D2" s="33"/>
      <c r="E2" s="33"/>
      <c r="F2" s="33"/>
    </row>
    <row r="3" spans="1:6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243</v>
      </c>
    </row>
    <row r="4" spans="1:6" ht="30" customHeight="1" x14ac:dyDescent="0.35">
      <c r="A4" s="2">
        <v>1</v>
      </c>
      <c r="B4" s="3" t="s">
        <v>7</v>
      </c>
      <c r="C4" s="3" t="s">
        <v>8</v>
      </c>
      <c r="D4" s="2" t="s">
        <v>9</v>
      </c>
      <c r="E4" s="3" t="s">
        <v>10</v>
      </c>
      <c r="F4" s="4">
        <v>1</v>
      </c>
    </row>
    <row r="5" spans="1:6" ht="30" customHeight="1" x14ac:dyDescent="0.35">
      <c r="A5" s="5">
        <v>2</v>
      </c>
      <c r="B5" s="6" t="s">
        <v>11</v>
      </c>
      <c r="C5" s="6" t="s">
        <v>12</v>
      </c>
      <c r="D5" s="5" t="s">
        <v>13</v>
      </c>
      <c r="E5" s="6" t="s">
        <v>14</v>
      </c>
      <c r="F5" s="7">
        <v>2.27</v>
      </c>
    </row>
    <row r="6" spans="1:6" ht="30" customHeight="1" x14ac:dyDescent="0.35">
      <c r="A6" s="5">
        <v>3</v>
      </c>
      <c r="B6" s="6" t="s">
        <v>15</v>
      </c>
      <c r="C6" s="6" t="s">
        <v>16</v>
      </c>
      <c r="D6" s="5" t="s">
        <v>13</v>
      </c>
      <c r="E6" s="6" t="s">
        <v>17</v>
      </c>
      <c r="F6" s="7">
        <v>1.97</v>
      </c>
    </row>
    <row r="7" spans="1:6" ht="30" customHeight="1" x14ac:dyDescent="0.35">
      <c r="A7" s="8">
        <v>4</v>
      </c>
      <c r="B7" s="9" t="s">
        <v>18</v>
      </c>
      <c r="C7" s="9" t="s">
        <v>19</v>
      </c>
      <c r="D7" s="8" t="s">
        <v>20</v>
      </c>
      <c r="E7" s="9" t="s">
        <v>21</v>
      </c>
      <c r="F7" s="10">
        <v>2.5</v>
      </c>
    </row>
    <row r="8" spans="1:6" ht="30" customHeight="1" x14ac:dyDescent="0.35">
      <c r="A8" s="2">
        <v>5</v>
      </c>
      <c r="B8" s="3" t="s">
        <v>22</v>
      </c>
      <c r="C8" s="3" t="s">
        <v>23</v>
      </c>
      <c r="D8" s="2" t="s">
        <v>9</v>
      </c>
      <c r="E8" s="3" t="s">
        <v>24</v>
      </c>
      <c r="F8" s="4">
        <v>2</v>
      </c>
    </row>
    <row r="9" spans="1:6" ht="30" customHeight="1" x14ac:dyDescent="0.35">
      <c r="A9" s="5">
        <v>6</v>
      </c>
      <c r="B9" s="6" t="s">
        <v>25</v>
      </c>
      <c r="C9" s="6" t="s">
        <v>26</v>
      </c>
      <c r="D9" s="5" t="s">
        <v>13</v>
      </c>
      <c r="E9" s="6" t="s">
        <v>27</v>
      </c>
      <c r="F9" s="7">
        <v>4</v>
      </c>
    </row>
    <row r="10" spans="1:6" ht="30" customHeight="1" x14ac:dyDescent="0.35">
      <c r="A10" s="5">
        <v>7</v>
      </c>
      <c r="B10" s="6" t="s">
        <v>28</v>
      </c>
      <c r="C10" s="6" t="s">
        <v>29</v>
      </c>
      <c r="D10" s="5" t="s">
        <v>13</v>
      </c>
      <c r="E10" s="6" t="s">
        <v>30</v>
      </c>
      <c r="F10" s="7">
        <v>2.34</v>
      </c>
    </row>
    <row r="11" spans="1:6" ht="30" customHeight="1" x14ac:dyDescent="0.35">
      <c r="A11" s="5">
        <v>8</v>
      </c>
      <c r="B11" s="6" t="s">
        <v>31</v>
      </c>
      <c r="C11" s="6" t="s">
        <v>32</v>
      </c>
      <c r="D11" s="5" t="s">
        <v>13</v>
      </c>
      <c r="E11" s="6" t="s">
        <v>33</v>
      </c>
      <c r="F11" s="7">
        <v>3.39</v>
      </c>
    </row>
    <row r="12" spans="1:6" ht="30" customHeight="1" x14ac:dyDescent="0.35">
      <c r="A12" s="5">
        <v>9</v>
      </c>
      <c r="B12" s="6" t="s">
        <v>34</v>
      </c>
      <c r="C12" s="6" t="s">
        <v>35</v>
      </c>
      <c r="D12" s="5" t="s">
        <v>13</v>
      </c>
      <c r="E12" s="6" t="s">
        <v>36</v>
      </c>
      <c r="F12" s="7">
        <v>0.98</v>
      </c>
    </row>
    <row r="13" spans="1:6" ht="30" customHeight="1" x14ac:dyDescent="0.35">
      <c r="A13" s="5">
        <v>10</v>
      </c>
      <c r="B13" s="6" t="s">
        <v>37</v>
      </c>
      <c r="C13" s="6" t="s">
        <v>38</v>
      </c>
      <c r="D13" s="5" t="s">
        <v>13</v>
      </c>
      <c r="E13" s="6" t="s">
        <v>39</v>
      </c>
      <c r="F13" s="7">
        <v>2.79</v>
      </c>
    </row>
    <row r="14" spans="1:6" ht="20" customHeight="1" x14ac:dyDescent="0.35">
      <c r="A14" s="34" t="s">
        <v>40</v>
      </c>
      <c r="B14" s="33"/>
      <c r="C14" s="33"/>
      <c r="D14" s="33"/>
      <c r="E14" s="33"/>
      <c r="F14" s="33"/>
    </row>
    <row r="15" spans="1:6" ht="30" customHeight="1" x14ac:dyDescent="0.35">
      <c r="A15" s="5">
        <v>11</v>
      </c>
      <c r="B15" s="6" t="s">
        <v>41</v>
      </c>
      <c r="C15" s="6" t="s">
        <v>42</v>
      </c>
      <c r="D15" s="5" t="s">
        <v>13</v>
      </c>
      <c r="E15" s="6" t="s">
        <v>43</v>
      </c>
      <c r="F15" s="7">
        <v>0.46</v>
      </c>
    </row>
    <row r="16" spans="1:6" ht="30" customHeight="1" x14ac:dyDescent="0.35">
      <c r="A16" s="2">
        <v>12</v>
      </c>
      <c r="B16" s="3" t="s">
        <v>44</v>
      </c>
      <c r="C16" s="3" t="s">
        <v>45</v>
      </c>
      <c r="D16" s="2" t="s">
        <v>9</v>
      </c>
      <c r="E16" s="3" t="s">
        <v>46</v>
      </c>
      <c r="F16" s="4">
        <v>2.5</v>
      </c>
    </row>
    <row r="17" spans="1:6" ht="30" customHeight="1" x14ac:dyDescent="0.35">
      <c r="A17" s="8">
        <v>13</v>
      </c>
      <c r="B17" s="9" t="s">
        <v>47</v>
      </c>
      <c r="C17" s="9" t="s">
        <v>48</v>
      </c>
      <c r="D17" s="8" t="s">
        <v>20</v>
      </c>
      <c r="E17" s="9" t="s">
        <v>49</v>
      </c>
      <c r="F17" s="10">
        <v>2.5</v>
      </c>
    </row>
    <row r="18" spans="1:6" ht="30" customHeight="1" x14ac:dyDescent="0.35">
      <c r="A18" s="8">
        <v>14</v>
      </c>
      <c r="B18" s="9" t="s">
        <v>50</v>
      </c>
      <c r="C18" s="9" t="s">
        <v>51</v>
      </c>
      <c r="D18" s="8" t="s">
        <v>20</v>
      </c>
      <c r="E18" s="9" t="s">
        <v>52</v>
      </c>
      <c r="F18" s="10">
        <v>3.5</v>
      </c>
    </row>
    <row r="19" spans="1:6" ht="20" customHeight="1" x14ac:dyDescent="0.35">
      <c r="A19" s="34" t="s">
        <v>53</v>
      </c>
      <c r="B19" s="33"/>
      <c r="C19" s="33"/>
      <c r="D19" s="33"/>
      <c r="E19" s="33"/>
      <c r="F19" s="33"/>
    </row>
    <row r="20" spans="1:6" ht="30" customHeight="1" x14ac:dyDescent="0.35">
      <c r="A20" s="8">
        <v>15</v>
      </c>
      <c r="B20" s="9" t="s">
        <v>54</v>
      </c>
      <c r="C20" s="9" t="s">
        <v>55</v>
      </c>
      <c r="D20" s="8" t="s">
        <v>20</v>
      </c>
      <c r="E20" s="9" t="s">
        <v>56</v>
      </c>
      <c r="F20" s="10">
        <v>3</v>
      </c>
    </row>
    <row r="21" spans="1:6" ht="30" customHeight="1" x14ac:dyDescent="0.35">
      <c r="A21" s="8">
        <v>16</v>
      </c>
      <c r="B21" s="9" t="s">
        <v>57</v>
      </c>
      <c r="C21" s="9" t="s">
        <v>58</v>
      </c>
      <c r="D21" s="8" t="s">
        <v>20</v>
      </c>
      <c r="E21" s="9" t="s">
        <v>59</v>
      </c>
      <c r="F21" s="10">
        <v>3.5</v>
      </c>
    </row>
    <row r="22" spans="1:6" ht="30" customHeight="1" x14ac:dyDescent="0.35">
      <c r="A22" s="8">
        <v>17</v>
      </c>
      <c r="B22" s="9" t="s">
        <v>60</v>
      </c>
      <c r="C22" s="9" t="s">
        <v>61</v>
      </c>
      <c r="D22" s="8" t="s">
        <v>20</v>
      </c>
      <c r="E22" s="9" t="s">
        <v>62</v>
      </c>
      <c r="F22" s="10">
        <v>5</v>
      </c>
    </row>
    <row r="23" spans="1:6" ht="30" customHeight="1" x14ac:dyDescent="0.35">
      <c r="A23" s="8">
        <v>18</v>
      </c>
      <c r="B23" s="9" t="s">
        <v>63</v>
      </c>
      <c r="C23" s="9" t="s">
        <v>61</v>
      </c>
      <c r="D23" s="8" t="s">
        <v>20</v>
      </c>
      <c r="E23" s="9" t="s">
        <v>259</v>
      </c>
      <c r="F23" s="10">
        <v>3</v>
      </c>
    </row>
    <row r="24" spans="1:6" ht="20" customHeight="1" x14ac:dyDescent="0.35">
      <c r="A24" s="34" t="s">
        <v>64</v>
      </c>
      <c r="B24" s="33"/>
      <c r="C24" s="33"/>
      <c r="D24" s="33"/>
      <c r="E24" s="33"/>
      <c r="F24" s="33"/>
    </row>
    <row r="25" spans="1:6" ht="30" customHeight="1" x14ac:dyDescent="0.35">
      <c r="A25" s="8">
        <v>19</v>
      </c>
      <c r="B25" s="9" t="s">
        <v>65</v>
      </c>
      <c r="C25" s="9" t="s">
        <v>23</v>
      </c>
      <c r="D25" s="8" t="s">
        <v>20</v>
      </c>
      <c r="E25" s="9" t="s">
        <v>242</v>
      </c>
      <c r="F25" s="10">
        <v>2</v>
      </c>
    </row>
    <row r="26" spans="1:6" ht="30" customHeight="1" x14ac:dyDescent="0.35">
      <c r="A26" s="11">
        <v>20</v>
      </c>
      <c r="B26" s="12" t="s">
        <v>66</v>
      </c>
      <c r="C26" s="12" t="s">
        <v>67</v>
      </c>
      <c r="D26" s="11" t="s">
        <v>68</v>
      </c>
      <c r="E26" s="12" t="s">
        <v>69</v>
      </c>
      <c r="F26" s="13">
        <v>1.07</v>
      </c>
    </row>
    <row r="27" spans="1:6" ht="30" customHeight="1" x14ac:dyDescent="0.35">
      <c r="A27" s="11">
        <v>21</v>
      </c>
      <c r="B27" s="12" t="s">
        <v>70</v>
      </c>
      <c r="C27" s="12" t="s">
        <v>71</v>
      </c>
      <c r="D27" s="11" t="s">
        <v>68</v>
      </c>
      <c r="E27" s="12" t="s">
        <v>72</v>
      </c>
      <c r="F27" s="13">
        <v>0.08</v>
      </c>
    </row>
    <row r="28" spans="1:6" ht="30" customHeight="1" x14ac:dyDescent="0.35">
      <c r="A28" s="11">
        <v>22</v>
      </c>
      <c r="B28" s="12" t="s">
        <v>73</v>
      </c>
      <c r="C28" s="12" t="s">
        <v>74</v>
      </c>
      <c r="D28" s="11" t="s">
        <v>68</v>
      </c>
      <c r="E28" s="12" t="s">
        <v>75</v>
      </c>
      <c r="F28" s="13">
        <v>1.18</v>
      </c>
    </row>
    <row r="29" spans="1:6" ht="30" customHeight="1" x14ac:dyDescent="0.35">
      <c r="A29" s="8">
        <v>23</v>
      </c>
      <c r="B29" s="9" t="s">
        <v>76</v>
      </c>
      <c r="C29" s="9" t="s">
        <v>26</v>
      </c>
      <c r="D29" s="8" t="s">
        <v>20</v>
      </c>
      <c r="E29" s="9" t="s">
        <v>77</v>
      </c>
      <c r="F29" s="10">
        <v>4</v>
      </c>
    </row>
    <row r="30" spans="1:6" ht="30" customHeight="1" x14ac:dyDescent="0.35">
      <c r="A30" s="8">
        <v>24</v>
      </c>
      <c r="B30" s="9" t="s">
        <v>78</v>
      </c>
      <c r="C30" s="9" t="s">
        <v>26</v>
      </c>
      <c r="D30" s="8" t="s">
        <v>20</v>
      </c>
      <c r="E30" s="9" t="s">
        <v>79</v>
      </c>
      <c r="F30" s="10">
        <v>4</v>
      </c>
    </row>
    <row r="31" spans="1:6" ht="30" customHeight="1" x14ac:dyDescent="0.35">
      <c r="A31" s="11">
        <v>25</v>
      </c>
      <c r="B31" s="12" t="s">
        <v>80</v>
      </c>
      <c r="C31" s="12" t="s">
        <v>81</v>
      </c>
      <c r="D31" s="11" t="s">
        <v>68</v>
      </c>
      <c r="E31" s="12" t="s">
        <v>82</v>
      </c>
      <c r="F31" s="13">
        <v>1.25</v>
      </c>
    </row>
    <row r="32" spans="1:6" ht="30" customHeight="1" x14ac:dyDescent="0.35">
      <c r="A32" s="8">
        <v>26</v>
      </c>
      <c r="B32" s="9" t="s">
        <v>83</v>
      </c>
      <c r="C32" s="9" t="s">
        <v>58</v>
      </c>
      <c r="D32" s="8" t="s">
        <v>20</v>
      </c>
      <c r="E32" s="9" t="s">
        <v>84</v>
      </c>
      <c r="F32" s="10">
        <v>3.5</v>
      </c>
    </row>
    <row r="33" spans="1:6" ht="30" customHeight="1" x14ac:dyDescent="0.35">
      <c r="A33" s="8">
        <v>27</v>
      </c>
      <c r="B33" s="9" t="s">
        <v>85</v>
      </c>
      <c r="C33" s="9" t="s">
        <v>86</v>
      </c>
      <c r="D33" s="8" t="s">
        <v>20</v>
      </c>
      <c r="E33" s="9" t="s">
        <v>87</v>
      </c>
      <c r="F33" s="10">
        <v>2.5</v>
      </c>
    </row>
    <row r="34" spans="1:6" ht="30" customHeight="1" x14ac:dyDescent="0.35">
      <c r="A34" s="8">
        <v>28</v>
      </c>
      <c r="B34" s="9" t="s">
        <v>88</v>
      </c>
      <c r="C34" s="9" t="s">
        <v>26</v>
      </c>
      <c r="D34" s="8" t="s">
        <v>20</v>
      </c>
      <c r="E34" s="9" t="s">
        <v>89</v>
      </c>
      <c r="F34" s="10">
        <v>4</v>
      </c>
    </row>
    <row r="35" spans="1:6" ht="30" customHeight="1" x14ac:dyDescent="0.35">
      <c r="A35" s="8">
        <v>29</v>
      </c>
      <c r="B35" s="9" t="s">
        <v>90</v>
      </c>
      <c r="C35" s="9" t="s">
        <v>55</v>
      </c>
      <c r="D35" s="8" t="s">
        <v>20</v>
      </c>
      <c r="E35" s="9" t="s">
        <v>91</v>
      </c>
      <c r="F35" s="10">
        <v>2.5</v>
      </c>
    </row>
    <row r="36" spans="1:6" ht="30" customHeight="1" x14ac:dyDescent="0.35">
      <c r="A36" s="2">
        <v>30</v>
      </c>
      <c r="B36" s="3" t="s">
        <v>92</v>
      </c>
      <c r="C36" s="3" t="s">
        <v>26</v>
      </c>
      <c r="D36" s="2" t="s">
        <v>9</v>
      </c>
      <c r="E36" s="3" t="s">
        <v>93</v>
      </c>
      <c r="F36" s="4">
        <v>4</v>
      </c>
    </row>
    <row r="37" spans="1:6" ht="30" customHeight="1" x14ac:dyDescent="0.35">
      <c r="A37" s="8">
        <v>31</v>
      </c>
      <c r="B37" s="9" t="s">
        <v>94</v>
      </c>
      <c r="C37" s="9" t="s">
        <v>48</v>
      </c>
      <c r="D37" s="8" t="s">
        <v>20</v>
      </c>
      <c r="E37" s="9" t="s">
        <v>95</v>
      </c>
      <c r="F37" s="10">
        <v>2.5</v>
      </c>
    </row>
    <row r="38" spans="1:6" ht="30" customHeight="1" x14ac:dyDescent="0.35">
      <c r="A38" s="2">
        <v>32</v>
      </c>
      <c r="B38" s="3" t="s">
        <v>96</v>
      </c>
      <c r="C38" s="3" t="s">
        <v>97</v>
      </c>
      <c r="D38" s="2" t="s">
        <v>9</v>
      </c>
      <c r="E38" s="3" t="s">
        <v>98</v>
      </c>
      <c r="F38" s="4">
        <v>2.5</v>
      </c>
    </row>
    <row r="39" spans="1:6" ht="30" customHeight="1" x14ac:dyDescent="0.35">
      <c r="A39" s="11">
        <v>33</v>
      </c>
      <c r="B39" s="12" t="s">
        <v>99</v>
      </c>
      <c r="C39" s="12" t="s">
        <v>100</v>
      </c>
      <c r="D39" s="11" t="s">
        <v>68</v>
      </c>
      <c r="E39" s="12" t="s">
        <v>101</v>
      </c>
      <c r="F39" s="13">
        <v>0.08</v>
      </c>
    </row>
    <row r="40" spans="1:6" ht="30" customHeight="1" x14ac:dyDescent="0.35">
      <c r="A40" s="11">
        <v>34</v>
      </c>
      <c r="B40" s="12" t="s">
        <v>99</v>
      </c>
      <c r="C40" s="12" t="s">
        <v>102</v>
      </c>
      <c r="D40" s="11" t="s">
        <v>68</v>
      </c>
      <c r="E40" s="12" t="s">
        <v>103</v>
      </c>
      <c r="F40" s="13">
        <v>1.25</v>
      </c>
    </row>
    <row r="41" spans="1:6" ht="20" customHeight="1" x14ac:dyDescent="0.35">
      <c r="A41" s="34" t="s">
        <v>104</v>
      </c>
      <c r="B41" s="33"/>
      <c r="C41" s="33"/>
      <c r="D41" s="33"/>
      <c r="E41" s="33"/>
      <c r="F41" s="33"/>
    </row>
    <row r="42" spans="1:6" ht="30" customHeight="1" x14ac:dyDescent="0.35">
      <c r="A42" s="8">
        <v>35</v>
      </c>
      <c r="B42" s="9" t="s">
        <v>105</v>
      </c>
      <c r="C42" s="9" t="s">
        <v>61</v>
      </c>
      <c r="D42" s="8" t="s">
        <v>20</v>
      </c>
      <c r="E42" s="9" t="s">
        <v>106</v>
      </c>
      <c r="F42" s="10">
        <v>3</v>
      </c>
    </row>
    <row r="43" spans="1:6" ht="30" customHeight="1" x14ac:dyDescent="0.35">
      <c r="A43" s="8">
        <v>36</v>
      </c>
      <c r="B43" s="9" t="s">
        <v>107</v>
      </c>
      <c r="C43" s="9" t="s">
        <v>61</v>
      </c>
      <c r="D43" s="8" t="s">
        <v>20</v>
      </c>
      <c r="E43" s="9" t="s">
        <v>108</v>
      </c>
      <c r="F43" s="10">
        <v>5</v>
      </c>
    </row>
    <row r="44" spans="1:6" ht="30" customHeight="1" x14ac:dyDescent="0.35">
      <c r="A44" s="8">
        <v>37</v>
      </c>
      <c r="B44" s="9" t="s">
        <v>109</v>
      </c>
      <c r="C44" s="9" t="s">
        <v>97</v>
      </c>
      <c r="D44" s="8" t="s">
        <v>20</v>
      </c>
      <c r="E44" s="9" t="s">
        <v>110</v>
      </c>
      <c r="F44" s="10">
        <v>2.5</v>
      </c>
    </row>
    <row r="45" spans="1:6" ht="30" customHeight="1" x14ac:dyDescent="0.35">
      <c r="A45" s="11">
        <v>38</v>
      </c>
      <c r="B45" s="12" t="s">
        <v>109</v>
      </c>
      <c r="C45" s="12" t="s">
        <v>74</v>
      </c>
      <c r="D45" s="11" t="s">
        <v>68</v>
      </c>
      <c r="E45" s="12" t="s">
        <v>111</v>
      </c>
      <c r="F45" s="13">
        <v>0.08</v>
      </c>
    </row>
    <row r="46" spans="1:6" ht="30" customHeight="1" x14ac:dyDescent="0.35">
      <c r="A46" s="8">
        <v>39</v>
      </c>
      <c r="B46" s="9" t="s">
        <v>112</v>
      </c>
      <c r="C46" s="9" t="s">
        <v>61</v>
      </c>
      <c r="D46" s="8" t="s">
        <v>20</v>
      </c>
      <c r="E46" s="9" t="s">
        <v>113</v>
      </c>
      <c r="F46" s="10">
        <v>3</v>
      </c>
    </row>
    <row r="47" spans="1:6" ht="30" customHeight="1" x14ac:dyDescent="0.35">
      <c r="A47" s="8">
        <v>40</v>
      </c>
      <c r="B47" s="9" t="s">
        <v>114</v>
      </c>
      <c r="C47" s="9" t="s">
        <v>97</v>
      </c>
      <c r="D47" s="8" t="s">
        <v>20</v>
      </c>
      <c r="E47" s="9" t="s">
        <v>115</v>
      </c>
      <c r="F47" s="10">
        <v>2.5</v>
      </c>
    </row>
    <row r="48" spans="1:6" ht="30" customHeight="1" x14ac:dyDescent="0.35">
      <c r="A48" s="11">
        <v>41</v>
      </c>
      <c r="B48" s="12" t="s">
        <v>114</v>
      </c>
      <c r="C48" s="12" t="s">
        <v>116</v>
      </c>
      <c r="D48" s="11" t="s">
        <v>68</v>
      </c>
      <c r="E48" s="12" t="s">
        <v>117</v>
      </c>
      <c r="F48" s="13">
        <v>0.08</v>
      </c>
    </row>
    <row r="49" spans="1:6" ht="30" customHeight="1" x14ac:dyDescent="0.35">
      <c r="A49" s="11">
        <v>42</v>
      </c>
      <c r="B49" s="12" t="s">
        <v>118</v>
      </c>
      <c r="C49" s="12" t="s">
        <v>119</v>
      </c>
      <c r="D49" s="11" t="s">
        <v>68</v>
      </c>
      <c r="E49" s="12" t="s">
        <v>120</v>
      </c>
      <c r="F49" s="13">
        <v>0.08</v>
      </c>
    </row>
    <row r="50" spans="1:6" ht="30" customHeight="1" x14ac:dyDescent="0.35">
      <c r="A50" s="11">
        <v>43</v>
      </c>
      <c r="B50" s="12" t="s">
        <v>118</v>
      </c>
      <c r="C50" s="12" t="s">
        <v>121</v>
      </c>
      <c r="D50" s="11" t="s">
        <v>68</v>
      </c>
      <c r="E50" s="12" t="s">
        <v>122</v>
      </c>
      <c r="F50" s="13">
        <v>0.08</v>
      </c>
    </row>
    <row r="51" spans="1:6" ht="30" customHeight="1" x14ac:dyDescent="0.35">
      <c r="A51" s="8">
        <v>44</v>
      </c>
      <c r="B51" s="9" t="s">
        <v>123</v>
      </c>
      <c r="C51" s="9" t="s">
        <v>61</v>
      </c>
      <c r="D51" s="8" t="s">
        <v>20</v>
      </c>
      <c r="E51" s="9" t="s">
        <v>124</v>
      </c>
      <c r="F51" s="10">
        <v>3</v>
      </c>
    </row>
    <row r="52" spans="1:6" ht="30" customHeight="1" x14ac:dyDescent="0.35">
      <c r="A52" s="11">
        <v>45</v>
      </c>
      <c r="B52" s="12" t="s">
        <v>125</v>
      </c>
      <c r="C52" s="12" t="s">
        <v>126</v>
      </c>
      <c r="D52" s="11" t="s">
        <v>68</v>
      </c>
      <c r="E52" s="12" t="s">
        <v>127</v>
      </c>
      <c r="F52" s="13">
        <v>1.05</v>
      </c>
    </row>
    <row r="53" spans="1:6" ht="30" customHeight="1" x14ac:dyDescent="0.35">
      <c r="A53" s="8">
        <v>46</v>
      </c>
      <c r="B53" s="9" t="s">
        <v>128</v>
      </c>
      <c r="C53" s="9" t="s">
        <v>129</v>
      </c>
      <c r="D53" s="8" t="s">
        <v>20</v>
      </c>
      <c r="E53" s="9" t="s">
        <v>130</v>
      </c>
      <c r="F53" s="10">
        <v>2</v>
      </c>
    </row>
    <row r="54" spans="1:6" ht="30" customHeight="1" x14ac:dyDescent="0.35">
      <c r="A54" s="8">
        <v>47</v>
      </c>
      <c r="B54" s="9" t="s">
        <v>131</v>
      </c>
      <c r="C54" s="9" t="s">
        <v>132</v>
      </c>
      <c r="D54" s="8" t="s">
        <v>20</v>
      </c>
      <c r="E54" s="9" t="s">
        <v>133</v>
      </c>
      <c r="F54" s="10">
        <v>2.5</v>
      </c>
    </row>
    <row r="55" spans="1:6" ht="30" customHeight="1" x14ac:dyDescent="0.35">
      <c r="A55" s="8">
        <v>48</v>
      </c>
      <c r="B55" s="9" t="s">
        <v>134</v>
      </c>
      <c r="C55" s="9" t="s">
        <v>132</v>
      </c>
      <c r="D55" s="8" t="s">
        <v>20</v>
      </c>
      <c r="E55" s="9" t="s">
        <v>135</v>
      </c>
      <c r="F55" s="10">
        <v>2.5</v>
      </c>
    </row>
    <row r="56" spans="1:6" ht="30" customHeight="1" x14ac:dyDescent="0.35">
      <c r="A56" s="11">
        <v>49</v>
      </c>
      <c r="B56" s="12" t="s">
        <v>136</v>
      </c>
      <c r="C56" s="12" t="s">
        <v>102</v>
      </c>
      <c r="D56" s="11" t="s">
        <v>68</v>
      </c>
      <c r="E56" s="12" t="s">
        <v>137</v>
      </c>
      <c r="F56" s="13">
        <v>0.08</v>
      </c>
    </row>
    <row r="57" spans="1:6" ht="30" customHeight="1" x14ac:dyDescent="0.35">
      <c r="A57" s="8">
        <v>50</v>
      </c>
      <c r="B57" s="9" t="s">
        <v>138</v>
      </c>
      <c r="C57" s="9" t="s">
        <v>61</v>
      </c>
      <c r="D57" s="8" t="s">
        <v>20</v>
      </c>
      <c r="E57" s="9" t="s">
        <v>139</v>
      </c>
      <c r="F57" s="10">
        <v>3</v>
      </c>
    </row>
    <row r="58" spans="1:6" ht="30" customHeight="1" x14ac:dyDescent="0.35">
      <c r="A58" s="8">
        <v>51</v>
      </c>
      <c r="B58" s="9" t="s">
        <v>140</v>
      </c>
      <c r="C58" s="9" t="s">
        <v>141</v>
      </c>
      <c r="D58" s="8" t="s">
        <v>20</v>
      </c>
      <c r="E58" s="9" t="s">
        <v>142</v>
      </c>
      <c r="F58" s="10">
        <v>2.5</v>
      </c>
    </row>
    <row r="59" spans="1:6" ht="30" customHeight="1" x14ac:dyDescent="0.35">
      <c r="A59" s="8">
        <v>52</v>
      </c>
      <c r="B59" s="9" t="s">
        <v>143</v>
      </c>
      <c r="C59" s="9" t="s">
        <v>86</v>
      </c>
      <c r="D59" s="8" t="s">
        <v>20</v>
      </c>
      <c r="E59" s="9" t="s">
        <v>144</v>
      </c>
      <c r="F59" s="10">
        <v>2.5</v>
      </c>
    </row>
    <row r="60" spans="1:6" ht="30" customHeight="1" x14ac:dyDescent="0.35">
      <c r="A60" s="8">
        <v>53</v>
      </c>
      <c r="B60" s="9" t="s">
        <v>145</v>
      </c>
      <c r="C60" s="9" t="s">
        <v>132</v>
      </c>
      <c r="D60" s="8" t="s">
        <v>20</v>
      </c>
      <c r="E60" s="9" t="s">
        <v>146</v>
      </c>
      <c r="F60" s="10">
        <v>2.5</v>
      </c>
    </row>
    <row r="61" spans="1:6" ht="20" customHeight="1" x14ac:dyDescent="0.35">
      <c r="A61" s="34" t="s">
        <v>147</v>
      </c>
      <c r="B61" s="33"/>
      <c r="C61" s="33"/>
      <c r="D61" s="33"/>
      <c r="E61" s="33"/>
      <c r="F61" s="33"/>
    </row>
    <row r="62" spans="1:6" ht="30" customHeight="1" x14ac:dyDescent="0.35">
      <c r="A62" s="11">
        <v>54</v>
      </c>
      <c r="B62" s="12" t="s">
        <v>148</v>
      </c>
      <c r="C62" s="12" t="s">
        <v>149</v>
      </c>
      <c r="D62" s="11" t="s">
        <v>68</v>
      </c>
      <c r="E62" s="12" t="s">
        <v>150</v>
      </c>
      <c r="F62" s="13">
        <v>1.33</v>
      </c>
    </row>
    <row r="63" spans="1:6" ht="30" customHeight="1" x14ac:dyDescent="0.35">
      <c r="A63" s="11">
        <v>55</v>
      </c>
      <c r="B63" s="12" t="s">
        <v>148</v>
      </c>
      <c r="C63" s="12" t="s">
        <v>102</v>
      </c>
      <c r="D63" s="11" t="s">
        <v>68</v>
      </c>
      <c r="E63" s="12" t="s">
        <v>151</v>
      </c>
      <c r="F63" s="13">
        <v>0.08</v>
      </c>
    </row>
    <row r="64" spans="1:6" ht="30" customHeight="1" x14ac:dyDescent="0.35">
      <c r="A64" s="11">
        <v>56</v>
      </c>
      <c r="B64" s="12" t="s">
        <v>148</v>
      </c>
      <c r="C64" s="12" t="s">
        <v>152</v>
      </c>
      <c r="D64" s="11" t="s">
        <v>68</v>
      </c>
      <c r="E64" s="12" t="s">
        <v>258</v>
      </c>
      <c r="F64" s="13">
        <v>2.5</v>
      </c>
    </row>
    <row r="65" spans="1:6" ht="30" customHeight="1" x14ac:dyDescent="0.35">
      <c r="A65" s="11">
        <v>57</v>
      </c>
      <c r="B65" s="12" t="s">
        <v>153</v>
      </c>
      <c r="C65" s="12" t="s">
        <v>154</v>
      </c>
      <c r="D65" s="11" t="s">
        <v>68</v>
      </c>
      <c r="E65" s="12" t="s">
        <v>155</v>
      </c>
      <c r="F65" s="13">
        <v>1.33</v>
      </c>
    </row>
    <row r="66" spans="1:6" ht="30" customHeight="1" x14ac:dyDescent="0.35">
      <c r="A66" s="8">
        <v>58</v>
      </c>
      <c r="B66" s="9" t="s">
        <v>156</v>
      </c>
      <c r="C66" s="9" t="s">
        <v>157</v>
      </c>
      <c r="D66" s="8" t="s">
        <v>20</v>
      </c>
      <c r="E66" s="9" t="s">
        <v>158</v>
      </c>
      <c r="F66" s="10">
        <v>1</v>
      </c>
    </row>
    <row r="67" spans="1:6" ht="30" customHeight="1" x14ac:dyDescent="0.35">
      <c r="A67" s="8">
        <v>59</v>
      </c>
      <c r="B67" s="9" t="s">
        <v>159</v>
      </c>
      <c r="C67" s="9" t="s">
        <v>160</v>
      </c>
      <c r="D67" s="8" t="s">
        <v>20</v>
      </c>
      <c r="E67" s="9" t="s">
        <v>161</v>
      </c>
      <c r="F67" s="10">
        <v>1.5</v>
      </c>
    </row>
    <row r="68" spans="1:6" ht="30" customHeight="1" x14ac:dyDescent="0.35">
      <c r="A68" s="8">
        <v>60</v>
      </c>
      <c r="B68" s="9" t="s">
        <v>162</v>
      </c>
      <c r="C68" s="9" t="s">
        <v>141</v>
      </c>
      <c r="D68" s="8" t="s">
        <v>20</v>
      </c>
      <c r="E68" s="9" t="s">
        <v>163</v>
      </c>
      <c r="F68" s="10">
        <v>2.5</v>
      </c>
    </row>
    <row r="69" spans="1:6" ht="30" customHeight="1" x14ac:dyDescent="0.35">
      <c r="A69" s="8">
        <v>61</v>
      </c>
      <c r="B69" s="9" t="s">
        <v>164</v>
      </c>
      <c r="C69" s="9" t="s">
        <v>165</v>
      </c>
      <c r="D69" s="8" t="s">
        <v>20</v>
      </c>
      <c r="E69" s="9" t="s">
        <v>166</v>
      </c>
      <c r="F69" s="10">
        <v>1</v>
      </c>
    </row>
    <row r="70" spans="1:6" ht="20" customHeight="1" x14ac:dyDescent="0.35">
      <c r="A70" s="34" t="s">
        <v>167</v>
      </c>
      <c r="B70" s="33"/>
      <c r="C70" s="33"/>
      <c r="D70" s="33"/>
      <c r="E70" s="33"/>
      <c r="F70" s="33"/>
    </row>
    <row r="71" spans="1:6" ht="20" customHeight="1" x14ac:dyDescent="0.35">
      <c r="A71" s="34" t="s">
        <v>168</v>
      </c>
      <c r="B71" s="33"/>
      <c r="C71" s="33"/>
      <c r="D71" s="33"/>
      <c r="E71" s="33"/>
      <c r="F71" s="33"/>
    </row>
    <row r="72" spans="1:6" ht="30" customHeight="1" x14ac:dyDescent="0.35">
      <c r="A72" s="8">
        <v>62</v>
      </c>
      <c r="B72" s="9" t="s">
        <v>169</v>
      </c>
      <c r="C72" s="9" t="s">
        <v>170</v>
      </c>
      <c r="D72" s="8" t="s">
        <v>20</v>
      </c>
      <c r="E72" s="9" t="s">
        <v>171</v>
      </c>
      <c r="F72" s="10">
        <v>2.5</v>
      </c>
    </row>
    <row r="73" spans="1:6" ht="30" customHeight="1" x14ac:dyDescent="0.35">
      <c r="A73" s="8">
        <v>63</v>
      </c>
      <c r="B73" s="9" t="s">
        <v>172</v>
      </c>
      <c r="C73" s="9" t="s">
        <v>173</v>
      </c>
      <c r="D73" s="8" t="s">
        <v>20</v>
      </c>
      <c r="E73" s="9" t="s">
        <v>257</v>
      </c>
      <c r="F73" s="10">
        <v>2.5</v>
      </c>
    </row>
    <row r="74" spans="1:6" ht="30" customHeight="1" x14ac:dyDescent="0.35">
      <c r="A74" s="8">
        <v>64</v>
      </c>
      <c r="B74" s="9" t="s">
        <v>174</v>
      </c>
      <c r="C74" s="9" t="s">
        <v>61</v>
      </c>
      <c r="D74" s="8" t="s">
        <v>20</v>
      </c>
      <c r="E74" s="9" t="s">
        <v>256</v>
      </c>
      <c r="F74" s="10">
        <v>3</v>
      </c>
    </row>
    <row r="75" spans="1:6" ht="30" customHeight="1" x14ac:dyDescent="0.35">
      <c r="A75" s="8">
        <v>65</v>
      </c>
      <c r="B75" s="9" t="s">
        <v>175</v>
      </c>
      <c r="C75" s="9" t="s">
        <v>61</v>
      </c>
      <c r="D75" s="8" t="s">
        <v>20</v>
      </c>
      <c r="E75" s="9" t="s">
        <v>255</v>
      </c>
      <c r="F75" s="10">
        <v>2</v>
      </c>
    </row>
    <row r="76" spans="1:6" ht="30" customHeight="1" x14ac:dyDescent="0.35">
      <c r="A76" s="8">
        <v>66</v>
      </c>
      <c r="B76" s="9" t="s">
        <v>176</v>
      </c>
      <c r="C76" s="9" t="s">
        <v>61</v>
      </c>
      <c r="D76" s="8" t="s">
        <v>20</v>
      </c>
      <c r="E76" s="9" t="s">
        <v>254</v>
      </c>
      <c r="F76" s="10">
        <v>3</v>
      </c>
    </row>
    <row r="77" spans="1:6" ht="30" customHeight="1" x14ac:dyDescent="0.35">
      <c r="A77" s="8">
        <v>67</v>
      </c>
      <c r="B77" s="9" t="s">
        <v>177</v>
      </c>
      <c r="C77" s="9" t="s">
        <v>61</v>
      </c>
      <c r="D77" s="8" t="s">
        <v>20</v>
      </c>
      <c r="E77" s="9" t="s">
        <v>253</v>
      </c>
      <c r="F77" s="10">
        <v>3.5</v>
      </c>
    </row>
    <row r="78" spans="1:6" ht="30" customHeight="1" x14ac:dyDescent="0.35">
      <c r="A78" s="8">
        <v>68</v>
      </c>
      <c r="B78" s="9" t="s">
        <v>178</v>
      </c>
      <c r="C78" s="9" t="s">
        <v>61</v>
      </c>
      <c r="D78" s="8" t="s">
        <v>20</v>
      </c>
      <c r="E78" s="9" t="s">
        <v>179</v>
      </c>
      <c r="F78" s="10">
        <v>3</v>
      </c>
    </row>
    <row r="79" spans="1:6" ht="30" customHeight="1" x14ac:dyDescent="0.35">
      <c r="A79" s="8">
        <v>69</v>
      </c>
      <c r="B79" s="9" t="s">
        <v>180</v>
      </c>
      <c r="C79" s="9" t="s">
        <v>61</v>
      </c>
      <c r="D79" s="8" t="s">
        <v>20</v>
      </c>
      <c r="E79" s="9" t="s">
        <v>181</v>
      </c>
      <c r="F79" s="10">
        <v>3</v>
      </c>
    </row>
    <row r="80" spans="1:6" ht="30" customHeight="1" x14ac:dyDescent="0.35">
      <c r="A80" s="11">
        <v>70</v>
      </c>
      <c r="B80" s="12" t="s">
        <v>182</v>
      </c>
      <c r="C80" s="12" t="s">
        <v>102</v>
      </c>
      <c r="D80" s="11" t="s">
        <v>68</v>
      </c>
      <c r="E80" s="12" t="s">
        <v>183</v>
      </c>
      <c r="F80" s="13">
        <v>1.17</v>
      </c>
    </row>
    <row r="81" spans="1:6" ht="30" customHeight="1" x14ac:dyDescent="0.35">
      <c r="A81" s="14">
        <v>71</v>
      </c>
      <c r="B81" s="15" t="s">
        <v>184</v>
      </c>
      <c r="C81" s="15" t="s">
        <v>185</v>
      </c>
      <c r="D81" s="14" t="s">
        <v>186</v>
      </c>
      <c r="E81" s="15" t="s">
        <v>187</v>
      </c>
      <c r="F81" s="16">
        <v>1.25</v>
      </c>
    </row>
    <row r="82" spans="1:6" ht="30" customHeight="1" x14ac:dyDescent="0.35">
      <c r="A82" s="14">
        <v>72</v>
      </c>
      <c r="B82" s="15" t="s">
        <v>188</v>
      </c>
      <c r="C82" s="15" t="s">
        <v>185</v>
      </c>
      <c r="D82" s="14" t="s">
        <v>186</v>
      </c>
      <c r="E82" s="15" t="s">
        <v>189</v>
      </c>
      <c r="F82" s="16">
        <v>1.25</v>
      </c>
    </row>
    <row r="83" spans="1:6" ht="30" customHeight="1" x14ac:dyDescent="0.35">
      <c r="A83" s="14">
        <v>73</v>
      </c>
      <c r="B83" s="15" t="s">
        <v>190</v>
      </c>
      <c r="C83" s="15" t="s">
        <v>185</v>
      </c>
      <c r="D83" s="14" t="s">
        <v>186</v>
      </c>
      <c r="E83" s="15" t="s">
        <v>191</v>
      </c>
      <c r="F83" s="16">
        <v>1.25</v>
      </c>
    </row>
    <row r="84" spans="1:6" ht="30" customHeight="1" x14ac:dyDescent="0.35">
      <c r="A84" s="11">
        <v>74</v>
      </c>
      <c r="B84" s="12" t="s">
        <v>192</v>
      </c>
      <c r="C84" s="12" t="s">
        <v>193</v>
      </c>
      <c r="D84" s="11" t="s">
        <v>68</v>
      </c>
      <c r="E84" s="12" t="s">
        <v>194</v>
      </c>
      <c r="F84" s="13">
        <v>1.17</v>
      </c>
    </row>
    <row r="85" spans="1:6" ht="30" customHeight="1" x14ac:dyDescent="0.35">
      <c r="A85" s="14">
        <v>75</v>
      </c>
      <c r="B85" s="15" t="s">
        <v>192</v>
      </c>
      <c r="C85" s="15" t="s">
        <v>195</v>
      </c>
      <c r="D85" s="14" t="s">
        <v>186</v>
      </c>
      <c r="E85" s="15" t="s">
        <v>196</v>
      </c>
      <c r="F85" s="16">
        <v>1.75</v>
      </c>
    </row>
    <row r="86" spans="1:6" ht="30" customHeight="1" x14ac:dyDescent="0.35">
      <c r="A86" s="14">
        <v>76</v>
      </c>
      <c r="B86" s="15" t="s">
        <v>197</v>
      </c>
      <c r="C86" s="15" t="s">
        <v>198</v>
      </c>
      <c r="D86" s="14" t="s">
        <v>186</v>
      </c>
      <c r="E86" s="15" t="s">
        <v>199</v>
      </c>
      <c r="F86" s="16">
        <v>1.33</v>
      </c>
    </row>
    <row r="87" spans="1:6" ht="30" customHeight="1" x14ac:dyDescent="0.35">
      <c r="A87" s="8">
        <v>77</v>
      </c>
      <c r="B87" s="9" t="s">
        <v>200</v>
      </c>
      <c r="C87" s="9" t="s">
        <v>185</v>
      </c>
      <c r="D87" s="8" t="s">
        <v>20</v>
      </c>
      <c r="E87" s="9" t="s">
        <v>201</v>
      </c>
      <c r="F87" s="10">
        <v>2</v>
      </c>
    </row>
    <row r="88" spans="1:6" ht="30" customHeight="1" x14ac:dyDescent="0.35">
      <c r="A88" s="8">
        <v>78</v>
      </c>
      <c r="B88" s="9" t="s">
        <v>202</v>
      </c>
      <c r="C88" s="9" t="s">
        <v>141</v>
      </c>
      <c r="D88" s="8" t="s">
        <v>20</v>
      </c>
      <c r="E88" s="9" t="s">
        <v>203</v>
      </c>
      <c r="F88" s="10">
        <v>2.5</v>
      </c>
    </row>
    <row r="89" spans="1:6" ht="30" customHeight="1" x14ac:dyDescent="0.35">
      <c r="A89" s="8">
        <v>79</v>
      </c>
      <c r="B89" s="9" t="s">
        <v>204</v>
      </c>
      <c r="C89" s="9" t="s">
        <v>48</v>
      </c>
      <c r="D89" s="8" t="s">
        <v>20</v>
      </c>
      <c r="E89" s="9" t="s">
        <v>205</v>
      </c>
      <c r="F89" s="10">
        <v>2.5</v>
      </c>
    </row>
    <row r="90" spans="1:6" ht="30" customHeight="1" x14ac:dyDescent="0.35">
      <c r="A90" s="8">
        <v>80</v>
      </c>
      <c r="B90" s="9" t="s">
        <v>206</v>
      </c>
      <c r="C90" s="9" t="s">
        <v>207</v>
      </c>
      <c r="D90" s="8" t="s">
        <v>20</v>
      </c>
      <c r="E90" s="9" t="s">
        <v>208</v>
      </c>
      <c r="F90" s="10">
        <v>2</v>
      </c>
    </row>
    <row r="91" spans="1:6" ht="30" customHeight="1" x14ac:dyDescent="0.35">
      <c r="A91" s="8">
        <v>81</v>
      </c>
      <c r="B91" s="9" t="s">
        <v>209</v>
      </c>
      <c r="C91" s="9" t="s">
        <v>210</v>
      </c>
      <c r="D91" s="8" t="s">
        <v>20</v>
      </c>
      <c r="E91" s="9" t="s">
        <v>211</v>
      </c>
      <c r="F91" s="10">
        <v>2.25</v>
      </c>
    </row>
    <row r="92" spans="1:6" ht="30" customHeight="1" x14ac:dyDescent="0.35">
      <c r="A92" s="14">
        <v>82</v>
      </c>
      <c r="B92" s="15" t="s">
        <v>212</v>
      </c>
      <c r="C92" s="15" t="s">
        <v>213</v>
      </c>
      <c r="D92" s="14" t="s">
        <v>186</v>
      </c>
      <c r="E92" s="15" t="s">
        <v>214</v>
      </c>
      <c r="F92" s="16">
        <v>0.5</v>
      </c>
    </row>
    <row r="93" spans="1:6" ht="30" customHeight="1" x14ac:dyDescent="0.35">
      <c r="A93" s="17">
        <v>83</v>
      </c>
      <c r="B93" s="18" t="s">
        <v>212</v>
      </c>
      <c r="C93" s="18" t="s">
        <v>246</v>
      </c>
      <c r="D93" s="17" t="s">
        <v>215</v>
      </c>
      <c r="E93" s="18" t="s">
        <v>252</v>
      </c>
      <c r="F93" s="19">
        <v>3</v>
      </c>
    </row>
    <row r="94" spans="1:6" ht="30" customHeight="1" x14ac:dyDescent="0.35">
      <c r="A94" s="17">
        <v>84</v>
      </c>
      <c r="B94" s="46">
        <v>46104</v>
      </c>
      <c r="C94" s="18" t="s">
        <v>245</v>
      </c>
      <c r="D94" s="17" t="s">
        <v>215</v>
      </c>
      <c r="E94" s="18" t="s">
        <v>216</v>
      </c>
      <c r="F94" s="19">
        <v>2</v>
      </c>
    </row>
    <row r="95" spans="1:6" ht="30" customHeight="1" x14ac:dyDescent="0.35">
      <c r="A95" s="17">
        <v>85</v>
      </c>
      <c r="B95" s="46">
        <v>46105</v>
      </c>
      <c r="C95" s="18" t="s">
        <v>244</v>
      </c>
      <c r="D95" s="17" t="s">
        <v>215</v>
      </c>
      <c r="E95" s="18" t="s">
        <v>251</v>
      </c>
      <c r="F95" s="19">
        <v>2</v>
      </c>
    </row>
    <row r="96" spans="1:6" ht="30" customHeight="1" x14ac:dyDescent="0.35">
      <c r="A96" s="8">
        <v>86</v>
      </c>
      <c r="B96" s="47">
        <v>46105</v>
      </c>
      <c r="C96" s="9" t="s">
        <v>247</v>
      </c>
      <c r="D96" s="8" t="s">
        <v>20</v>
      </c>
      <c r="E96" s="9" t="s">
        <v>250</v>
      </c>
      <c r="F96" s="10">
        <v>1.5</v>
      </c>
    </row>
    <row r="97" spans="1:6" ht="30" customHeight="1" x14ac:dyDescent="0.35">
      <c r="A97" s="17">
        <v>86</v>
      </c>
      <c r="B97" s="18" t="s">
        <v>217</v>
      </c>
      <c r="C97" s="18" t="s">
        <v>248</v>
      </c>
      <c r="D97" s="17" t="s">
        <v>215</v>
      </c>
      <c r="E97" s="18" t="s">
        <v>249</v>
      </c>
      <c r="F97" s="19">
        <v>4</v>
      </c>
    </row>
    <row r="98" spans="1:6" ht="20" customHeight="1" x14ac:dyDescent="0.35">
      <c r="A98" s="34" t="s">
        <v>218</v>
      </c>
      <c r="B98" s="33"/>
      <c r="C98" s="33"/>
      <c r="D98" s="33"/>
      <c r="E98" s="33"/>
      <c r="F98" s="33"/>
    </row>
    <row r="99" spans="1:6" x14ac:dyDescent="0.35">
      <c r="A99" s="41" t="s">
        <v>219</v>
      </c>
      <c r="B99" s="33"/>
      <c r="C99" s="33"/>
      <c r="D99" s="33"/>
      <c r="E99" s="33"/>
      <c r="F99" s="20">
        <f>SUM(F4:F98)</f>
        <v>188.21999999999997</v>
      </c>
    </row>
    <row r="101" spans="1:6" ht="18" customHeight="1" x14ac:dyDescent="0.35">
      <c r="A101" s="35" t="s">
        <v>220</v>
      </c>
      <c r="B101" s="33"/>
      <c r="C101" s="33"/>
      <c r="D101" s="33"/>
      <c r="E101" s="33"/>
      <c r="F101" s="33"/>
    </row>
    <row r="102" spans="1:6" ht="18" customHeight="1" x14ac:dyDescent="0.35">
      <c r="A102" s="43" t="s">
        <v>221</v>
      </c>
      <c r="B102" s="33"/>
      <c r="C102" s="33"/>
      <c r="D102" s="33"/>
      <c r="E102" s="33"/>
      <c r="F102" s="33"/>
    </row>
    <row r="103" spans="1:6" ht="18" customHeight="1" x14ac:dyDescent="0.35">
      <c r="A103" s="39" t="s">
        <v>222</v>
      </c>
      <c r="B103" s="33"/>
      <c r="C103" s="33"/>
      <c r="D103" s="33"/>
      <c r="E103" s="33"/>
      <c r="F103" s="33"/>
    </row>
    <row r="104" spans="1:6" ht="18" customHeight="1" x14ac:dyDescent="0.35">
      <c r="A104" s="37" t="s">
        <v>223</v>
      </c>
      <c r="B104" s="33"/>
      <c r="C104" s="33"/>
      <c r="D104" s="33"/>
      <c r="E104" s="33"/>
      <c r="F104" s="33"/>
    </row>
    <row r="105" spans="1:6" ht="18" customHeight="1" x14ac:dyDescent="0.35">
      <c r="A105" s="40" t="s">
        <v>224</v>
      </c>
      <c r="B105" s="33"/>
      <c r="C105" s="33"/>
      <c r="D105" s="33"/>
      <c r="E105" s="33"/>
      <c r="F105" s="33"/>
    </row>
    <row r="106" spans="1:6" ht="18" customHeight="1" x14ac:dyDescent="0.35">
      <c r="A106" s="42" t="s">
        <v>225</v>
      </c>
      <c r="B106" s="33"/>
      <c r="C106" s="33"/>
      <c r="D106" s="33"/>
      <c r="E106" s="33"/>
      <c r="F106" s="33"/>
    </row>
    <row r="107" spans="1:6" ht="18" customHeight="1" x14ac:dyDescent="0.35">
      <c r="A107" s="36" t="s">
        <v>226</v>
      </c>
      <c r="B107" s="33"/>
      <c r="C107" s="33"/>
      <c r="D107" s="33"/>
      <c r="E107" s="33"/>
      <c r="F107" s="33"/>
    </row>
    <row r="108" spans="1:6" ht="18" customHeight="1" x14ac:dyDescent="0.35">
      <c r="A108" s="32" t="s">
        <v>227</v>
      </c>
      <c r="B108" s="33"/>
      <c r="C108" s="33"/>
      <c r="D108" s="33"/>
      <c r="E108" s="33"/>
      <c r="F108" s="33"/>
    </row>
  </sheetData>
  <mergeCells count="19">
    <mergeCell ref="A1:F1"/>
    <mergeCell ref="A24:F24"/>
    <mergeCell ref="A98:F98"/>
    <mergeCell ref="A2:F2"/>
    <mergeCell ref="A70:F70"/>
    <mergeCell ref="A103:F103"/>
    <mergeCell ref="A41:F41"/>
    <mergeCell ref="A61:F61"/>
    <mergeCell ref="A99:E99"/>
    <mergeCell ref="A14:F14"/>
    <mergeCell ref="A102:F102"/>
    <mergeCell ref="A108:F108"/>
    <mergeCell ref="A19:F19"/>
    <mergeCell ref="A71:F71"/>
    <mergeCell ref="A101:F101"/>
    <mergeCell ref="A107:F107"/>
    <mergeCell ref="A104:F104"/>
    <mergeCell ref="A105:F105"/>
    <mergeCell ref="A106:F10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265625" defaultRowHeight="14.5" x14ac:dyDescent="0.35"/>
  <cols>
    <col min="1" max="1" width="6" customWidth="1"/>
    <col min="2" max="2" width="15" customWidth="1"/>
    <col min="3" max="3" width="65" customWidth="1"/>
    <col min="4" max="4" width="18" customWidth="1"/>
  </cols>
  <sheetData>
    <row r="1" spans="1:4" ht="18" x14ac:dyDescent="0.35">
      <c r="A1" s="45" t="s">
        <v>228</v>
      </c>
      <c r="B1" s="33"/>
      <c r="C1" s="33"/>
      <c r="D1" s="33"/>
    </row>
    <row r="2" spans="1:4" x14ac:dyDescent="0.35">
      <c r="A2" s="38" t="s">
        <v>229</v>
      </c>
      <c r="B2" s="33"/>
      <c r="C2" s="33"/>
      <c r="D2" s="33"/>
    </row>
    <row r="4" spans="1:4" x14ac:dyDescent="0.35">
      <c r="A4" s="1" t="s">
        <v>2</v>
      </c>
      <c r="B4" s="1" t="s">
        <v>3</v>
      </c>
      <c r="C4" s="1" t="s">
        <v>5</v>
      </c>
      <c r="D4" s="1" t="s">
        <v>230</v>
      </c>
    </row>
    <row r="5" spans="1:4" x14ac:dyDescent="0.35">
      <c r="A5" s="21">
        <v>1</v>
      </c>
      <c r="B5" s="21" t="s">
        <v>34</v>
      </c>
      <c r="C5" s="22" t="s">
        <v>231</v>
      </c>
      <c r="D5" s="23" t="s">
        <v>232</v>
      </c>
    </row>
    <row r="6" spans="1:4" ht="34.5" x14ac:dyDescent="0.35">
      <c r="A6" s="24">
        <v>2</v>
      </c>
      <c r="B6" s="24" t="s">
        <v>76</v>
      </c>
      <c r="C6" s="25" t="s">
        <v>233</v>
      </c>
      <c r="D6" s="23" t="s">
        <v>232</v>
      </c>
    </row>
    <row r="7" spans="1:4" ht="34.5" x14ac:dyDescent="0.35">
      <c r="A7" s="21">
        <v>3</v>
      </c>
      <c r="B7" s="21" t="s">
        <v>96</v>
      </c>
      <c r="C7" s="22" t="s">
        <v>234</v>
      </c>
      <c r="D7" s="23" t="s">
        <v>232</v>
      </c>
    </row>
    <row r="8" spans="1:4" x14ac:dyDescent="0.35">
      <c r="A8" s="24">
        <v>4</v>
      </c>
      <c r="B8" s="24" t="s">
        <v>175</v>
      </c>
      <c r="C8" s="25" t="s">
        <v>235</v>
      </c>
      <c r="D8" s="23" t="s">
        <v>232</v>
      </c>
    </row>
    <row r="9" spans="1:4" x14ac:dyDescent="0.35">
      <c r="A9" s="21">
        <v>5</v>
      </c>
      <c r="B9" s="21" t="s">
        <v>236</v>
      </c>
      <c r="C9" s="22" t="s">
        <v>237</v>
      </c>
      <c r="D9" s="23" t="s">
        <v>232</v>
      </c>
    </row>
    <row r="10" spans="1:4" x14ac:dyDescent="0.35">
      <c r="A10" s="24">
        <v>6</v>
      </c>
      <c r="B10" s="24" t="s">
        <v>217</v>
      </c>
      <c r="C10" s="25" t="s">
        <v>238</v>
      </c>
      <c r="D10" s="26" t="s">
        <v>239</v>
      </c>
    </row>
    <row r="11" spans="1:4" ht="23" x14ac:dyDescent="0.35">
      <c r="A11" s="27">
        <v>7</v>
      </c>
      <c r="B11" s="27" t="s">
        <v>63</v>
      </c>
      <c r="C11" s="28" t="s">
        <v>240</v>
      </c>
      <c r="D11" s="29" t="s">
        <v>232</v>
      </c>
    </row>
    <row r="12" spans="1:4" ht="23" x14ac:dyDescent="0.35">
      <c r="A12" s="30">
        <v>8</v>
      </c>
      <c r="B12" s="30" t="s">
        <v>200</v>
      </c>
      <c r="C12" s="31" t="s">
        <v>241</v>
      </c>
      <c r="D12" s="29" t="s">
        <v>232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Stundenaufzeichnung</vt:lpstr>
      <vt:lpstr>Meilensteine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BAUMANN Christian, SchülerIn</cp:lastModifiedBy>
  <dcterms:created xsi:type="dcterms:W3CDTF">2026-03-23T23:27:05Z</dcterms:created>
  <dcterms:modified xsi:type="dcterms:W3CDTF">2026-03-24T21:07:47Z</dcterms:modified>
</cp:coreProperties>
</file>